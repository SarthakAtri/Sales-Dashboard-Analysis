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arthakatri/Downloads/"/>
    </mc:Choice>
  </mc:AlternateContent>
  <xr:revisionPtr revIDLastSave="0" documentId="13_ncr:1_{8C2DEF0D-6FE9-9043-B44B-664FFE35B943}" xr6:coauthVersionLast="37" xr6:coauthVersionMax="37" xr10:uidLastSave="{00000000-0000-0000-0000-000000000000}"/>
  <bookViews>
    <workbookView xWindow="0" yWindow="580" windowWidth="25600" windowHeight="14320" tabRatio="500" activeTab="2" xr2:uid="{00000000-000D-0000-FFFF-FFFF00000000}"/>
  </bookViews>
  <sheets>
    <sheet name="Raw Data" sheetId="1" r:id="rId1"/>
    <sheet name="Product Summary" sheetId="2" r:id="rId2"/>
    <sheet name="Dashboard" sheetId="3" r:id="rId3"/>
    <sheet name="README" sheetId="4" state="hidden" r:id="rId4"/>
  </sheets>
  <calcPr calcId="1790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3" l="1"/>
  <c r="G7" i="3"/>
  <c r="D7" i="3"/>
  <c r="A7" i="3"/>
  <c r="J7" i="3" s="1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D8" i="2" s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D7" i="2" s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D20" i="2" s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D5" i="2" s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D3" i="2" s="1"/>
  <c r="G52" i="1"/>
  <c r="G51" i="1"/>
  <c r="G50" i="1"/>
  <c r="G49" i="1"/>
  <c r="G48" i="1"/>
  <c r="G47" i="1"/>
  <c r="G46" i="1"/>
  <c r="D15" i="2" s="1"/>
  <c r="G45" i="1"/>
  <c r="G44" i="1"/>
  <c r="G43" i="1"/>
  <c r="G42" i="1"/>
  <c r="G41" i="1"/>
  <c r="G40" i="1"/>
  <c r="G39" i="1"/>
  <c r="G38" i="1"/>
  <c r="G37" i="1"/>
  <c r="G36" i="1"/>
  <c r="G35" i="1"/>
  <c r="G34" i="1"/>
  <c r="D14" i="2" s="1"/>
  <c r="G33" i="1"/>
  <c r="G32" i="1"/>
  <c r="D9" i="2" s="1"/>
  <c r="G31" i="1"/>
  <c r="G30" i="1"/>
  <c r="G29" i="1"/>
  <c r="D12" i="2" s="1"/>
  <c r="G28" i="1"/>
  <c r="G27" i="1"/>
  <c r="G26" i="1"/>
  <c r="D11" i="2" s="1"/>
  <c r="G25" i="1"/>
  <c r="G24" i="1"/>
  <c r="D19" i="2" s="1"/>
  <c r="G23" i="1"/>
  <c r="G22" i="1"/>
  <c r="D21" i="2" s="1"/>
  <c r="G21" i="1"/>
  <c r="D16" i="2" s="1"/>
  <c r="G20" i="1"/>
  <c r="G19" i="1"/>
  <c r="G18" i="1"/>
  <c r="D6" i="2" s="1"/>
  <c r="G17" i="1"/>
  <c r="G16" i="1"/>
  <c r="G15" i="1"/>
  <c r="G14" i="1"/>
  <c r="D2" i="2" s="1"/>
  <c r="G13" i="1"/>
  <c r="G12" i="1"/>
  <c r="G11" i="1"/>
  <c r="G10" i="1"/>
  <c r="D13" i="2" s="1"/>
  <c r="G9" i="1"/>
  <c r="D4" i="2" s="1"/>
  <c r="G8" i="1"/>
  <c r="G7" i="1"/>
  <c r="H12" i="3" s="1"/>
  <c r="G6" i="1"/>
  <c r="E14" i="3" s="1"/>
  <c r="G5" i="1"/>
  <c r="D17" i="2" s="1"/>
  <c r="G4" i="1"/>
  <c r="E13" i="3" s="1"/>
  <c r="G3" i="1"/>
  <c r="H13" i="3" s="1"/>
  <c r="G2" i="1"/>
  <c r="B23" i="3" s="1"/>
  <c r="E17" i="2" l="1"/>
  <c r="E16" i="2"/>
  <c r="E19" i="2"/>
  <c r="E14" i="2"/>
  <c r="E15" i="3"/>
  <c r="B20" i="3"/>
  <c r="D10" i="2"/>
  <c r="E11" i="2" s="1"/>
  <c r="D18" i="2"/>
  <c r="E18" i="2" s="1"/>
  <c r="E12" i="3"/>
  <c r="H15" i="3"/>
  <c r="B14" i="3"/>
  <c r="B18" i="3"/>
  <c r="B21" i="3"/>
  <c r="H14" i="3"/>
  <c r="B16" i="3"/>
  <c r="B13" i="3"/>
  <c r="B19" i="3"/>
  <c r="B22" i="3"/>
  <c r="B15" i="3"/>
  <c r="B17" i="3"/>
  <c r="E21" i="2" l="1"/>
  <c r="E10" i="2"/>
  <c r="E2" i="2"/>
  <c r="E13" i="2"/>
  <c r="E20" i="2"/>
  <c r="E4" i="2"/>
  <c r="E5" i="2"/>
  <c r="E9" i="2"/>
  <c r="E8" i="2"/>
  <c r="E3" i="2"/>
  <c r="E15" i="2"/>
  <c r="E6" i="2"/>
  <c r="E12" i="2"/>
  <c r="E7" i="2"/>
  <c r="K19" i="3" l="1"/>
  <c r="J19" i="3"/>
  <c r="K16" i="3"/>
  <c r="K14" i="3"/>
  <c r="J12" i="3"/>
  <c r="K21" i="3"/>
  <c r="J16" i="3"/>
  <c r="J14" i="3"/>
  <c r="J21" i="3"/>
  <c r="K18" i="3"/>
  <c r="K12" i="3"/>
  <c r="J18" i="3"/>
  <c r="K15" i="3"/>
  <c r="K20" i="3"/>
  <c r="J15" i="3"/>
  <c r="J20" i="3"/>
  <c r="K17" i="3"/>
  <c r="K13" i="3"/>
  <c r="J13" i="3"/>
  <c r="J17" i="3"/>
</calcChain>
</file>

<file path=xl/sharedStrings.xml><?xml version="1.0" encoding="utf-8"?>
<sst xmlns="http://schemas.openxmlformats.org/spreadsheetml/2006/main" count="3710" uniqueCount="403">
  <si>
    <t>Date</t>
  </si>
  <si>
    <t>Region</t>
  </si>
  <si>
    <t>Category</t>
  </si>
  <si>
    <t>Product</t>
  </si>
  <si>
    <t>Units</t>
  </si>
  <si>
    <t>Unit Price</t>
  </si>
  <si>
    <t>Revenue</t>
  </si>
  <si>
    <t>2024-01-01</t>
  </si>
  <si>
    <t>North</t>
  </si>
  <si>
    <t>Home &amp; Kitchen</t>
  </si>
  <si>
    <t>LED Table Lamp</t>
  </si>
  <si>
    <t>Clothing</t>
  </si>
  <si>
    <t>Winter Jacket</t>
  </si>
  <si>
    <t>South</t>
  </si>
  <si>
    <t>Denim Jeans</t>
  </si>
  <si>
    <t>2024-01-02</t>
  </si>
  <si>
    <t>West</t>
  </si>
  <si>
    <t>Vacuum Cleaner</t>
  </si>
  <si>
    <t>2024-01-03</t>
  </si>
  <si>
    <t>East</t>
  </si>
  <si>
    <t>Women's Kurti</t>
  </si>
  <si>
    <t>Electronics</t>
  </si>
  <si>
    <t>USB-C Charger 65W</t>
  </si>
  <si>
    <t>2024-01-04</t>
  </si>
  <si>
    <t>2024-01-05</t>
  </si>
  <si>
    <t>Sports</t>
  </si>
  <si>
    <t>Cricket Bat</t>
  </si>
  <si>
    <t>Power Bank 20000mAh</t>
  </si>
  <si>
    <t>Smartwatch</t>
  </si>
  <si>
    <t>2024-01-07</t>
  </si>
  <si>
    <t>Air Purifier</t>
  </si>
  <si>
    <t>Men's Cotton T-Shirt</t>
  </si>
  <si>
    <t>2024-01-08</t>
  </si>
  <si>
    <t>2024-01-09</t>
  </si>
  <si>
    <t>2024-01-10</t>
  </si>
  <si>
    <t>2024-01-11</t>
  </si>
  <si>
    <t>Yoga Mat</t>
  </si>
  <si>
    <t>Wireless Earbuds</t>
  </si>
  <si>
    <t>2024-01-12</t>
  </si>
  <si>
    <t>2024-01-14</t>
  </si>
  <si>
    <t>2024-01-15</t>
  </si>
  <si>
    <t>Non-Stick Cookware Set</t>
  </si>
  <si>
    <t>2024-01-16</t>
  </si>
  <si>
    <t>Electric Kettle</t>
  </si>
  <si>
    <t>2024-01-17</t>
  </si>
  <si>
    <t>Football</t>
  </si>
  <si>
    <t>2024-01-18</t>
  </si>
  <si>
    <t>2024-01-19</t>
  </si>
  <si>
    <t>Running Shoes</t>
  </si>
  <si>
    <t>2024-01-20</t>
  </si>
  <si>
    <t>Dumbbell Set 10kg</t>
  </si>
  <si>
    <t>2024-01-21</t>
  </si>
  <si>
    <t>2024-01-23</t>
  </si>
  <si>
    <t>2024-01-24</t>
  </si>
  <si>
    <t>2024-01-25</t>
  </si>
  <si>
    <t>2024-01-26</t>
  </si>
  <si>
    <t>2024-01-27</t>
  </si>
  <si>
    <t>2024-01-28</t>
  </si>
  <si>
    <t>Bluetooth Speaker</t>
  </si>
  <si>
    <t>2024-01-29</t>
  </si>
  <si>
    <t>2024-01-30</t>
  </si>
  <si>
    <t>2024-01-31</t>
  </si>
  <si>
    <t>2024-02-01</t>
  </si>
  <si>
    <t>2024-02-02</t>
  </si>
  <si>
    <t>Cycling Helmet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</si>
  <si>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</si>
  <si>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</si>
  <si>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</si>
  <si>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</si>
  <si>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</si>
  <si>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</si>
  <si>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</si>
  <si>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</si>
  <si>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</si>
  <si>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</si>
  <si>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</si>
  <si>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</si>
  <si>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</si>
  <si>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</si>
  <si>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</si>
  <si>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</si>
  <si>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</si>
  <si>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</si>
  <si>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</si>
  <si>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</si>
  <si>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</si>
  <si>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</si>
  <si>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</si>
  <si>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</si>
  <si>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</si>
  <si>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</si>
  <si>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</si>
  <si>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</si>
  <si>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</si>
  <si>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2024-03-04</t>
  </si>
  <si>
    <t>2024-03-05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</si>
  <si>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</si>
  <si>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</si>
  <si>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</si>
  <si>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</si>
  <si>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</si>
  <si>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</si>
  <si>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</si>
  <si>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</si>
  <si>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</si>
  <si>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</si>
  <si>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</si>
  <si>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</si>
  <si>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</si>
  <si>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</si>
  <si>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</si>
  <si>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</si>
  <si>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</si>
  <si>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</si>
  <si>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</si>
  <si>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</si>
  <si>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</si>
  <si>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</si>
  <si>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</si>
  <si>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</si>
  <si>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</si>
  <si>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</si>
  <si>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</si>
  <si>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</si>
  <si>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</si>
  <si>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</si>
  <si>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2024-04-09</t>
  </si>
  <si>
    <t>2024-04-10</t>
  </si>
  <si>
    <t>2024-04-11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</si>
  <si>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</si>
  <si>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</si>
  <si>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</si>
  <si>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</si>
  <si>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</si>
  <si>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</si>
  <si>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</si>
  <si>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</si>
  <si>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</si>
  <si>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</si>
  <si>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</si>
  <si>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</si>
  <si>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</si>
  <si>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</si>
  <si>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</si>
  <si>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</si>
  <si>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</si>
  <si>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</si>
  <si>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</si>
  <si>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</si>
  <si>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</si>
  <si>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</si>
  <si>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</si>
  <si>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</si>
  <si>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</si>
  <si>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</si>
  <si>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</si>
  <si>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</si>
  <si>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2024-05-12</t>
  </si>
  <si>
    <t>2024-05-13</t>
  </si>
  <si>
    <t>2024-05-14</t>
  </si>
  <si>
    <t>2024-05-15</t>
  </si>
  <si>
    <t>2024-05-16</t>
  </si>
  <si>
    <t>2024-05-17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</si>
  <si>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</si>
  <si>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</si>
  <si>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</si>
  <si>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</si>
  <si>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</si>
  <si>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</si>
  <si>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</si>
  <si>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</si>
  <si>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</si>
  <si>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</si>
  <si>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</si>
  <si>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</si>
  <si>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</si>
  <si>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</si>
  <si>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</si>
  <si>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</si>
  <si>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</si>
  <si>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</si>
  <si>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</si>
  <si>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2024-06-09</t>
  </si>
  <si>
    <t>2024-06-10</t>
  </si>
  <si>
    <t>2024-06-11</t>
  </si>
  <si>
    <t>2024-06-12</t>
  </si>
  <si>
    <t>2024-06-13</t>
  </si>
  <si>
    <t>2024-06-14</t>
  </si>
  <si>
    <t>2024-06-16</t>
  </si>
  <si>
    <t>2024-06-17</t>
  </si>
  <si>
    <t>2024-06-18</t>
  </si>
  <si>
    <t>2024-06-19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</si>
  <si>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</si>
  <si>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</si>
  <si>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</si>
  <si>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</si>
  <si>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</si>
  <si>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</si>
  <si>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</si>
  <si>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</si>
  <si>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</si>
  <si>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2024-07-01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</si>
  <si>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</si>
  <si>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</si>
  <si>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</si>
  <si>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</si>
  <si>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</si>
  <si>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</si>
  <si>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</si>
  <si>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</si>
  <si>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</si>
  <si>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</si>
  <si>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</si>
  <si>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</si>
  <si>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</si>
  <si>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</si>
  <si>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2024-07-18</t>
  </si>
  <si>
    <t>2024-07-19</t>
  </si>
  <si>
    <t>2024-07-20</t>
  </si>
  <si>
    <t>2024-07-21</t>
  </si>
  <si>
    <t>2024-07-22</t>
  </si>
  <si>
    <t>2024-07-24</t>
  </si>
  <si>
    <t>2024-07-25</t>
  </si>
  <si>
    <t>2024-07-26</t>
  </si>
  <si>
    <t>2024-07-28</t>
  </si>
  <si>
    <t>2024-07-29</t>
  </si>
  <si>
    <t>2024-07-30</t>
  </si>
  <si>
    <t>2024-07-31</t>
  </si>
  <si>
    <t>2024-08-01</t>
  </si>
  <si>
    <t>2024-08-03</t>
  </si>
  <si>
    <t>2024-08-04</t>
  </si>
  <si>
    <t>2024-08-07</t>
  </si>
  <si>
    <t>2024-08-08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</si>
  <si>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</si>
  <si>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</si>
  <si>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</si>
  <si>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</si>
  <si>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</si>
  <si>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</si>
  <si>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</si>
  <si>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2024-08-18</t>
  </si>
  <si>
    <t>2024-08-19</t>
  </si>
  <si>
    <t>2024-08-20</t>
  </si>
  <si>
    <t>2024-08-22</t>
  </si>
  <si>
    <t>2024-08-23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</si>
  <si>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</si>
  <si>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</si>
  <si>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</si>
  <si>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</si>
  <si>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</si>
  <si>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</si>
  <si>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</si>
  <si>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</si>
  <si>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</si>
  <si>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</si>
  <si>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</si>
  <si>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</si>
  <si>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</si>
  <si>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</si>
  <si>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</si>
  <si>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</si>
  <si>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</si>
  <si>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</si>
  <si>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</si>
  <si>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</si>
  <si>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</si>
  <si>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</si>
  <si>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2024-09-20</t>
  </si>
  <si>
    <t>2024-09-21</t>
  </si>
  <si>
    <t>2024-09-22</t>
  </si>
  <si>
    <t>2024-09-23</t>
  </si>
  <si>
    <t>2024-09-24</t>
  </si>
  <si>
    <t>2024-09-25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</si>
  <si>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</si>
  <si>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</si>
  <si>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</si>
  <si>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</si>
  <si>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</si>
  <si>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</si>
  <si>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</si>
  <si>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</si>
  <si>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</si>
  <si>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</si>
  <si>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</si>
  <si>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</si>
  <si>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</si>
  <si>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</si>
  <si>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</si>
  <si>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</si>
  <si>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</si>
  <si>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</si>
  <si>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</si>
  <si>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</si>
  <si>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</si>
  <si>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</si>
  <si>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</si>
  <si>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</si>
  <si>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</si>
  <si>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</si>
  <si>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2024-10-25</t>
  </si>
  <si>
    <t>2024-10-26</t>
  </si>
  <si>
    <t>2024-10-27</t>
  </si>
  <si>
    <t>2024-10-28</t>
  </si>
  <si>
    <t>2024-10-29</t>
  </si>
  <si>
    <t>2024-10-30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</si>
  <si>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</si>
  <si>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</si>
  <si>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</si>
  <si>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</si>
  <si>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</si>
  <si>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</si>
  <si>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</si>
  <si>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</si>
  <si>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</si>
  <si>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</si>
  <si>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</si>
  <si>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</si>
  <si>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</si>
  <si>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</si>
  <si>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</si>
  <si>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</si>
  <si>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</si>
  <si>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</si>
  <si>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</si>
  <si>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</si>
  <si>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</si>
  <si>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</si>
  <si>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</si>
  <si>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</si>
  <si>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</si>
  <si>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</si>
  <si>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</si>
  <si>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</si>
  <si>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2024-12-01</t>
  </si>
  <si>
    <t>2024-12-02</t>
  </si>
  <si>
    <t>2024-12-03</t>
  </si>
  <si>
    <t>2024-12-04</t>
  </si>
  <si>
    <t>2024-12-05</t>
  </si>
  <si>
    <t>2024-12-06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</si>
  <si>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</si>
  <si>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</si>
  <si>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</si>
  <si>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</si>
  <si>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</si>
  <si>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</si>
  <si>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</si>
  <si>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</si>
  <si>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</si>
  <si>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</si>
  <si>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</si>
  <si>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</si>
  <si>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</si>
  <si>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2024-12-22</t>
  </si>
  <si>
    <t>2024-12-23</t>
  </si>
  <si>
    <t>2024-12-24</t>
  </si>
  <si>
    <t>2024-12-25</t>
  </si>
  <si>
    <t>2024-12-26</t>
  </si>
  <si>
    <t>2024-12-28</t>
  </si>
  <si>
    <t>2024-12-29</t>
  </si>
  <si>
    <t>2024-12-30</t>
  </si>
  <si>
    <t>2024-12-31</t>
  </si>
  <si>
    <t>SALES PERFORMANCE DASHBOARD — FY2024</t>
  </si>
  <si>
    <t>Region Filter:</t>
  </si>
  <si>
    <t>All</t>
  </si>
  <si>
    <t>Category Filter:</t>
  </si>
  <si>
    <t>(Choose 'All' or a specific value — every KPI, the monthly trend, and top products update automatically.)</t>
  </si>
  <si>
    <t>TOTAL REVENUE</t>
  </si>
  <si>
    <t>TOTAL UNITS SOLD</t>
  </si>
  <si>
    <t>NUMBER OF ORDERS</t>
  </si>
  <si>
    <t>AVG ORDER VALUE</t>
  </si>
  <si>
    <t>MONTHLY REVENUE TREND</t>
  </si>
  <si>
    <t>REVENUE BY REGION</t>
  </si>
  <si>
    <t>REVENUE BY CATEGORY</t>
  </si>
  <si>
    <t>TOP 10 PRODUCTS BY REVENUE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</si>
  <si>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</si>
  <si>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</si>
  <si>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</si>
  <si>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</si>
  <si>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</si>
  <si>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</si>
  <si>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</si>
  <si>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</si>
  <si>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</si>
  <si>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</si>
  <si>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</si>
  <si>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</si>
  <si>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</si>
  <si>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Dashboard Analysis — Project Notes</t>
  </si>
  <si>
    <t>Dataset: 900 synthetic sales transactions for FY2024, generated for this project</t>
  </si>
  <si>
    <t>(no real company data used). Columns: Date, Region, Category, Product, Units, Unit Price.</t>
  </si>
  <si>
    <t>Sheets:</t>
  </si>
  <si>
    <t xml:space="preserve">  Raw Data        - transaction-level data; Revenue = Units x Unit Price (formula).</t>
  </si>
  <si>
    <t xml:space="preserve">  Product Summary - helper sheet aggregating Units/Revenue per product, used to rank</t>
  </si>
  <si>
    <t xml:space="preserve">                    products for the Top 10 Products chart (RANK + INDEX/MATCH).</t>
  </si>
  <si>
    <t xml:space="preserve">  Dashboard        - KPIs, Region/Category filters (data-validation dropdowns), monthly</t>
  </si>
  <si>
    <t xml:space="preserve">                    trend, and four charts.</t>
  </si>
  <si>
    <t>How the filters work:</t>
  </si>
  <si>
    <t xml:space="preserve">  Change the Region or Category dropdown on the Dashboard (cells B4 and E4) to 'All' or</t>
  </si>
  <si>
    <t xml:space="preserve">  a specific value. Every KPI and the Monthly Revenue Trend recalculate instantly using</t>
  </si>
  <si>
    <t xml:space="preserve">  SUMPRODUCT formulas that check the filter cells - this mimics how a Power BI slicer</t>
  </si>
  <si>
    <t xml:space="preserve">  drives visuals, built natively in Excel.</t>
  </si>
  <si>
    <t>Concepts demonstrated: data cleaning &amp; transformation, KPI design, formula-driven</t>
  </si>
  <si>
    <t>'slicers', dashboard layout, and business insight extraction from sales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</si>
</sst>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8"/>
      <color rgb="FFFFFFFF"/>
      <name val="Arial"/>
      <charset val="1"/>
    </font>
    <font>
      <b/>
      <sz val="10"/>
      <color rgb="FF404040"/>
      <name val="Arial"/>
      <charset val="1"/>
    </font>
    <font>
      <b/>
      <sz val="11"/>
      <color rgb="FF1F3864"/>
      <name val="Arial"/>
      <charset val="1"/>
    </font>
    <font>
      <i/>
      <sz val="9"/>
      <color rgb="FF808080"/>
      <name val="Arial"/>
      <charset val="1"/>
    </font>
    <font>
      <sz val="10"/>
      <color rgb="FFDCE6F1"/>
      <name val="Arial"/>
      <charset val="1"/>
    </font>
    <font>
      <b/>
      <sz val="20"/>
      <color rgb="FFFFFFFF"/>
      <name val="Arial"/>
      <charset val="1"/>
    </font>
    <font>
      <b/>
      <sz val="13"/>
      <color rgb="FF1F3864"/>
      <name val="Arial"/>
      <charset val="1"/>
    </font>
    <font>
      <b/>
      <sz val="14"/>
      <color rgb="FF1F3864"/>
      <name val="Arial"/>
      <charset val="1"/>
    </font>
    <font>
      <sz val="10"/>
      <name val="Arial"/>
      <charset val="1"/>
    </font>
    <font>
      <b/>
      <sz val="11"/>
      <color theme="2"/>
      <name val="Arial"/>
      <family val="2"/>
    </font>
    <font>
      <b/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9F9F9"/>
      </patternFill>
    </fill>
    <fill>
      <patternFill patternType="solid">
        <fgColor rgb="FF2E5EAA"/>
        <bgColor rgb="FF4A7EBB"/>
      </patternFill>
    </fill>
    <fill>
      <patternFill patternType="solid">
        <fgColor theme="4"/>
        <bgColor rgb="FF333399"/>
      </patternFill>
    </fill>
    <fill>
      <patternFill patternType="solid">
        <fgColor rgb="FF00B0F0"/>
        <bgColor rgb="FF3333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 applyFont="1"/>
    <xf numFmtId="0" fontId="0" fillId="0" borderId="0" xfId="0" applyFont="1"/>
    <xf numFmtId="4" fontId="0" fillId="0" borderId="0" xfId="0" applyNumberFormat="1"/>
    <xf numFmtId="0" fontId="3" fillId="0" borderId="0" xfId="0" applyFont="1"/>
    <xf numFmtId="0" fontId="4" fillId="3" borderId="1" xfId="0" applyFont="1" applyFill="1" applyBorder="1"/>
    <xf numFmtId="0" fontId="5" fillId="0" borderId="0" xfId="0" applyFont="1"/>
    <xf numFmtId="0" fontId="8" fillId="0" borderId="0" xfId="0" applyFont="1"/>
    <xf numFmtId="0" fontId="1" fillId="2" borderId="0" xfId="0" applyFont="1" applyFill="1"/>
    <xf numFmtId="0" fontId="0" fillId="0" borderId="1" xfId="0" applyFont="1" applyBorder="1"/>
    <xf numFmtId="3" fontId="0" fillId="0" borderId="1" xfId="0" applyNumberFormat="1" applyBorder="1"/>
    <xf numFmtId="0" fontId="9" fillId="0" borderId="0" xfId="0" applyFont="1"/>
    <xf numFmtId="0" fontId="10" fillId="0" borderId="0" xfId="0" applyFont="1"/>
    <xf numFmtId="4" fontId="7" fillId="4" borderId="0" xfId="0" applyNumberFormat="1" applyFont="1" applyFill="1" applyBorder="1" applyAlignment="1">
      <alignment horizontal="center" vertical="center"/>
    </xf>
    <xf numFmtId="3" fontId="7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2" fillId="6" borderId="0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FF2CC"/>
      <rgbColor rgb="FFDCE6F1"/>
      <rgbColor rgb="FF660066"/>
      <rgbColor rgb="FFFF8080"/>
      <rgbColor rgb="FF2E5EA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Dashboard!$B$11</c:f>
              <c:strCache>
                <c:ptCount val="1"/>
                <c:pt idx="0">
                  <c:v>Revenue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Dashboard!$B$12:$B$23</c:f>
              <c:numCache>
                <c:formatCode>#,##0</c:formatCode>
                <c:ptCount val="12"/>
                <c:pt idx="0">
                  <c:v>685466.39</c:v>
                </c:pt>
                <c:pt idx="1">
                  <c:v>729961.99</c:v>
                </c:pt>
                <c:pt idx="2">
                  <c:v>721199.5299999998</c:v>
                </c:pt>
                <c:pt idx="3">
                  <c:v>559892.9</c:v>
                </c:pt>
                <c:pt idx="4">
                  <c:v>724877.02999999991</c:v>
                </c:pt>
                <c:pt idx="5">
                  <c:v>663391.50999999989</c:v>
                </c:pt>
                <c:pt idx="6">
                  <c:v>671726.86999999988</c:v>
                </c:pt>
                <c:pt idx="7">
                  <c:v>703157.73999999976</c:v>
                </c:pt>
                <c:pt idx="8">
                  <c:v>526255.77000000014</c:v>
                </c:pt>
                <c:pt idx="9">
                  <c:v>1050267.92</c:v>
                </c:pt>
                <c:pt idx="10">
                  <c:v>834448.5700000003</c:v>
                </c:pt>
                <c:pt idx="11">
                  <c:v>959132.37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48-6948-9E24-866D610BE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8110585"/>
        <c:axId val="43318677"/>
      </c:lineChart>
      <c:catAx>
        <c:axId val="281105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318677"/>
        <c:crosses val="autoZero"/>
        <c:auto val="1"/>
        <c:lblAlgn val="ctr"/>
        <c:lblOffset val="100"/>
        <c:noMultiLvlLbl val="0"/>
      </c:catAx>
      <c:valAx>
        <c:axId val="43318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1105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Dashboard!$D$12:$D$15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Dashboard!$E$12:$E$15</c:f>
              <c:numCache>
                <c:formatCode>#,##0</c:formatCode>
                <c:ptCount val="4"/>
                <c:pt idx="0">
                  <c:v>2918358.3600000008</c:v>
                </c:pt>
                <c:pt idx="1">
                  <c:v>1861110.0600000012</c:v>
                </c:pt>
                <c:pt idx="2">
                  <c:v>1436947.2799999991</c:v>
                </c:pt>
                <c:pt idx="3">
                  <c:v>2613362.8899999987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1-C243-82EC-49CE00722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15847"/>
        <c:axId val="96482798"/>
      </c:barChart>
      <c:catAx>
        <c:axId val="22415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482798"/>
        <c:crosses val="autoZero"/>
        <c:auto val="1"/>
        <c:lblAlgn val="ctr"/>
        <c:lblOffset val="100"/>
        <c:noMultiLvlLbl val="0"/>
      </c:catAx>
      <c:valAx>
        <c:axId val="964827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4158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Dashboard!$G$12:$G$15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Sports</c:v>
                </c:pt>
              </c:strCache>
            </c:strRef>
          </c:cat>
          <c:val>
            <c:numRef>
              <c:f>Dashboard!$H$12:$H$15</c:f>
              <c:numCache>
                <c:formatCode>#,##0</c:formatCode>
                <c:ptCount val="4"/>
                <c:pt idx="0">
                  <c:v>2365860.7400000002</c:v>
                </c:pt>
                <c:pt idx="1">
                  <c:v>1949389.800000001</c:v>
                </c:pt>
                <c:pt idx="2">
                  <c:v>3023754.0799999987</c:v>
                </c:pt>
                <c:pt idx="3">
                  <c:v>1490773.9700000009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0-9E4B-A53D-D33FFF5E8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852"/>
        <c:axId val="37352910"/>
      </c:barChart>
      <c:catAx>
        <c:axId val="938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352910"/>
        <c:crosses val="autoZero"/>
        <c:auto val="1"/>
        <c:lblAlgn val="ctr"/>
        <c:lblOffset val="100"/>
        <c:noMultiLvlLbl val="0"/>
      </c:catAx>
      <c:valAx>
        <c:axId val="373529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8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Dashboard!$K$11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Dashboard!$J$12:$J$21</c:f>
              <c:strCache>
                <c:ptCount val="10"/>
                <c:pt idx="0">
                  <c:v>Air Purifier</c:v>
                </c:pt>
                <c:pt idx="1">
                  <c:v>Smartwatch</c:v>
                </c:pt>
                <c:pt idx="2">
                  <c:v>Vacuum Cleaner</c:v>
                </c:pt>
                <c:pt idx="3">
                  <c:v>Winter Jacket</c:v>
                </c:pt>
                <c:pt idx="4">
                  <c:v>Running Shoes</c:v>
                </c:pt>
                <c:pt idx="5">
                  <c:v>Dumbbell Set 10kg</c:v>
                </c:pt>
                <c:pt idx="6">
                  <c:v>Non-Stick Cookware Set</c:v>
                </c:pt>
                <c:pt idx="7">
                  <c:v>Bluetooth Speaker</c:v>
                </c:pt>
                <c:pt idx="8">
                  <c:v>Wireless Earbuds</c:v>
                </c:pt>
                <c:pt idx="9">
                  <c:v>Denim Jeans</c:v>
                </c:pt>
              </c:strCache>
            </c:strRef>
          </c:cat>
          <c:val>
            <c:numRef>
              <c:f>Dashboard!$K$12:$K$21</c:f>
              <c:numCache>
                <c:formatCode>#,##0</c:formatCode>
                <c:ptCount val="10"/>
                <c:pt idx="0">
                  <c:v>1300034.6900000004</c:v>
                </c:pt>
                <c:pt idx="1">
                  <c:v>1008438.0799999998</c:v>
                </c:pt>
                <c:pt idx="2">
                  <c:v>929751.8400000002</c:v>
                </c:pt>
                <c:pt idx="3">
                  <c:v>696022.05</c:v>
                </c:pt>
                <c:pt idx="4">
                  <c:v>580434.98</c:v>
                </c:pt>
                <c:pt idx="5">
                  <c:v>489491.08</c:v>
                </c:pt>
                <c:pt idx="6">
                  <c:v>452245.9200000001</c:v>
                </c:pt>
                <c:pt idx="7">
                  <c:v>441558.10000000009</c:v>
                </c:pt>
                <c:pt idx="8">
                  <c:v>409076.61</c:v>
                </c:pt>
                <c:pt idx="9">
                  <c:v>397169.3899999999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B-334F-9859-5A4B5AD4F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031992"/>
        <c:axId val="41942648"/>
      </c:barChart>
      <c:catAx>
        <c:axId val="5703199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42648"/>
        <c:crosses val="autoZero"/>
        <c:auto val="1"/>
        <c:lblAlgn val="ctr"/>
        <c:lblOffset val="100"/>
        <c:noMultiLvlLbl val="0"/>
      </c:catAx>
      <c:valAx>
        <c:axId val="4194264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0319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175680</xdr:rowOff>
    </xdr:from>
    <xdr:to>
      <xdr:col>7</xdr:col>
      <xdr:colOff>825840</xdr:colOff>
      <xdr:row>40</xdr:row>
      <xdr:rowOff>7560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990600</xdr:colOff>
      <xdr:row>24</xdr:row>
      <xdr:rowOff>137580</xdr:rowOff>
    </xdr:from>
    <xdr:to>
      <xdr:col>15</xdr:col>
      <xdr:colOff>620280</xdr:colOff>
      <xdr:row>39</xdr:row>
      <xdr:rowOff>159960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787400</xdr:colOff>
      <xdr:row>43</xdr:row>
      <xdr:rowOff>86780</xdr:rowOff>
    </xdr:from>
    <xdr:to>
      <xdr:col>7</xdr:col>
      <xdr:colOff>879800</xdr:colOff>
      <xdr:row>58</xdr:row>
      <xdr:rowOff>109160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393700</xdr:colOff>
      <xdr:row>42</xdr:row>
      <xdr:rowOff>74080</xdr:rowOff>
    </xdr:from>
    <xdr:to>
      <xdr:col>21</xdr:col>
      <xdr:colOff>272620</xdr:colOff>
      <xdr:row>59</xdr:row>
      <xdr:rowOff>75520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1"/>
  <sheetViews>
    <sheetView zoomScaleNormal="100" workbookViewId="0">
      <pane ySplit="1" topLeftCell="A2" activePane="bottomLeft" state="frozen"/>
      <selection pane="bottomLeft" activeCell="G1" sqref="G1"/>
    </sheetView>
  </sheetViews>
  <sheetFormatPr baseColWidth="10" defaultColWidth="8.6640625" defaultRowHeight="15" x14ac:dyDescent="0.2"/>
  <cols>
    <col min="1" max="1" width="12" customWidth="1"/>
    <col min="2" max="2" width="10" customWidth="1"/>
    <col min="3" max="3" width="16" customWidth="1"/>
    <col min="4" max="4" width="24" customWidth="1"/>
    <col min="5" max="5" width="8" customWidth="1"/>
    <col min="6" max="6" width="12" customWidth="1"/>
    <col min="7" max="7" width="14" customWidth="1"/>
  </cols>
  <sheetData>
    <row r="1" spans="1:7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x14ac:dyDescent="0.2">
      <c r="A2" s="1" t="s">
        <v>7</v>
      </c>
      <c r="B2" s="2" t="s">
        <v>8</v>
      </c>
      <c r="C2" s="2" t="s">
        <v>9</v>
      </c>
      <c r="D2" s="2" t="s">
        <v>10</v>
      </c>
      <c r="E2">
        <v>7</v>
      </c>
      <c r="F2" s="3">
        <v>632.49</v>
      </c>
      <c r="G2" s="3">
        <f t="shared" ref="G2:G65" si="0">E2*F2</f>
        <v>4427.43</v>
      </c>
    </row>
    <row r="3" spans="1:7" x14ac:dyDescent="0.2">
      <c r="A3" s="1" t="s">
        <v>7</v>
      </c>
      <c r="B3" s="2" t="s">
        <v>8</v>
      </c>
      <c r="C3" s="2" t="s">
        <v>11</v>
      </c>
      <c r="D3" s="2" t="s">
        <v>12</v>
      </c>
      <c r="E3">
        <v>5</v>
      </c>
      <c r="F3" s="3">
        <v>2383.06</v>
      </c>
      <c r="G3" s="3">
        <f t="shared" si="0"/>
        <v>11915.3</v>
      </c>
    </row>
    <row r="4" spans="1:7" x14ac:dyDescent="0.2">
      <c r="A4" s="1" t="s">
        <v>7</v>
      </c>
      <c r="B4" s="2" t="s">
        <v>13</v>
      </c>
      <c r="C4" s="2" t="s">
        <v>11</v>
      </c>
      <c r="D4" s="2" t="s">
        <v>14</v>
      </c>
      <c r="E4">
        <v>1</v>
      </c>
      <c r="F4" s="3">
        <v>1518.99</v>
      </c>
      <c r="G4" s="3">
        <f t="shared" si="0"/>
        <v>1518.99</v>
      </c>
    </row>
    <row r="5" spans="1:7" x14ac:dyDescent="0.2">
      <c r="A5" s="1" t="s">
        <v>15</v>
      </c>
      <c r="B5" s="2" t="s">
        <v>16</v>
      </c>
      <c r="C5" s="2" t="s">
        <v>9</v>
      </c>
      <c r="D5" s="2" t="s">
        <v>17</v>
      </c>
      <c r="E5">
        <v>2</v>
      </c>
      <c r="F5" s="3">
        <v>6333.87</v>
      </c>
      <c r="G5" s="3">
        <f t="shared" si="0"/>
        <v>12667.74</v>
      </c>
    </row>
    <row r="6" spans="1:7" x14ac:dyDescent="0.2">
      <c r="A6" s="1" t="s">
        <v>18</v>
      </c>
      <c r="B6" s="2" t="s">
        <v>19</v>
      </c>
      <c r="C6" s="2" t="s">
        <v>11</v>
      </c>
      <c r="D6" s="2" t="s">
        <v>20</v>
      </c>
      <c r="E6">
        <v>5</v>
      </c>
      <c r="F6" s="3">
        <v>687.26</v>
      </c>
      <c r="G6" s="3">
        <f t="shared" si="0"/>
        <v>3436.3</v>
      </c>
    </row>
    <row r="7" spans="1:7" x14ac:dyDescent="0.2">
      <c r="A7" s="1" t="s">
        <v>18</v>
      </c>
      <c r="B7" s="2" t="s">
        <v>16</v>
      </c>
      <c r="C7" s="2" t="s">
        <v>21</v>
      </c>
      <c r="D7" s="2" t="s">
        <v>22</v>
      </c>
      <c r="E7">
        <v>8</v>
      </c>
      <c r="F7" s="3">
        <v>1347.06</v>
      </c>
      <c r="G7" s="3">
        <f t="shared" si="0"/>
        <v>10776.48</v>
      </c>
    </row>
    <row r="8" spans="1:7" x14ac:dyDescent="0.2">
      <c r="A8" s="1" t="s">
        <v>23</v>
      </c>
      <c r="B8" s="2" t="s">
        <v>19</v>
      </c>
      <c r="C8" s="2" t="s">
        <v>9</v>
      </c>
      <c r="D8" s="2" t="s">
        <v>17</v>
      </c>
      <c r="E8">
        <v>4</v>
      </c>
      <c r="F8" s="3">
        <v>4274.51</v>
      </c>
      <c r="G8" s="3">
        <f t="shared" si="0"/>
        <v>17098.04</v>
      </c>
    </row>
    <row r="9" spans="1:7" x14ac:dyDescent="0.2">
      <c r="A9" s="1" t="s">
        <v>24</v>
      </c>
      <c r="B9" s="2" t="s">
        <v>19</v>
      </c>
      <c r="C9" s="2" t="s">
        <v>25</v>
      </c>
      <c r="D9" s="2" t="s">
        <v>26</v>
      </c>
      <c r="E9">
        <v>3</v>
      </c>
      <c r="F9" s="3">
        <v>996.02</v>
      </c>
      <c r="G9" s="3">
        <f t="shared" si="0"/>
        <v>2988.06</v>
      </c>
    </row>
    <row r="10" spans="1:7" x14ac:dyDescent="0.2">
      <c r="A10" s="1" t="s">
        <v>24</v>
      </c>
      <c r="B10" s="2" t="s">
        <v>8</v>
      </c>
      <c r="C10" s="2" t="s">
        <v>21</v>
      </c>
      <c r="D10" s="2" t="s">
        <v>27</v>
      </c>
      <c r="E10">
        <v>6</v>
      </c>
      <c r="F10" s="3">
        <v>1554.76</v>
      </c>
      <c r="G10" s="3">
        <f t="shared" si="0"/>
        <v>9328.56</v>
      </c>
    </row>
    <row r="11" spans="1:7" x14ac:dyDescent="0.2">
      <c r="A11" s="1" t="s">
        <v>24</v>
      </c>
      <c r="B11" s="2" t="s">
        <v>19</v>
      </c>
      <c r="C11" s="2" t="s">
        <v>9</v>
      </c>
      <c r="D11" s="2" t="s">
        <v>17</v>
      </c>
      <c r="E11">
        <v>5</v>
      </c>
      <c r="F11" s="3">
        <v>4224.42</v>
      </c>
      <c r="G11" s="3">
        <f t="shared" si="0"/>
        <v>21122.1</v>
      </c>
    </row>
    <row r="12" spans="1:7" x14ac:dyDescent="0.2">
      <c r="A12" s="1" t="s">
        <v>24</v>
      </c>
      <c r="B12" s="2" t="s">
        <v>13</v>
      </c>
      <c r="C12" s="2" t="s">
        <v>21</v>
      </c>
      <c r="D12" s="2" t="s">
        <v>28</v>
      </c>
      <c r="E12">
        <v>2</v>
      </c>
      <c r="F12" s="3">
        <v>3801.74</v>
      </c>
      <c r="G12" s="3">
        <f t="shared" si="0"/>
        <v>7603.48</v>
      </c>
    </row>
    <row r="13" spans="1:7" x14ac:dyDescent="0.2">
      <c r="A13" s="1" t="s">
        <v>24</v>
      </c>
      <c r="B13" s="2" t="s">
        <v>13</v>
      </c>
      <c r="C13" s="2" t="s">
        <v>11</v>
      </c>
      <c r="D13" s="2" t="s">
        <v>12</v>
      </c>
      <c r="E13">
        <v>6</v>
      </c>
      <c r="F13" s="3">
        <v>2835.07</v>
      </c>
      <c r="G13" s="3">
        <f t="shared" si="0"/>
        <v>17010.420000000002</v>
      </c>
    </row>
    <row r="14" spans="1:7" x14ac:dyDescent="0.2">
      <c r="A14" s="1" t="s">
        <v>29</v>
      </c>
      <c r="B14" s="2" t="s">
        <v>13</v>
      </c>
      <c r="C14" s="2" t="s">
        <v>9</v>
      </c>
      <c r="D14" s="2" t="s">
        <v>30</v>
      </c>
      <c r="E14">
        <v>2</v>
      </c>
      <c r="F14" s="3">
        <v>7761.8</v>
      </c>
      <c r="G14" s="3">
        <f t="shared" si="0"/>
        <v>15523.6</v>
      </c>
    </row>
    <row r="15" spans="1:7" x14ac:dyDescent="0.2">
      <c r="A15" s="1" t="s">
        <v>29</v>
      </c>
      <c r="B15" s="2" t="s">
        <v>13</v>
      </c>
      <c r="C15" s="2" t="s">
        <v>11</v>
      </c>
      <c r="D15" s="2" t="s">
        <v>31</v>
      </c>
      <c r="E15">
        <v>7</v>
      </c>
      <c r="F15" s="3">
        <v>672.08</v>
      </c>
      <c r="G15" s="3">
        <f t="shared" si="0"/>
        <v>4704.5600000000004</v>
      </c>
    </row>
    <row r="16" spans="1:7" x14ac:dyDescent="0.2">
      <c r="A16" s="1" t="s">
        <v>32</v>
      </c>
      <c r="B16" s="2" t="s">
        <v>19</v>
      </c>
      <c r="C16" s="2" t="s">
        <v>9</v>
      </c>
      <c r="D16" s="2" t="s">
        <v>10</v>
      </c>
      <c r="E16">
        <v>3</v>
      </c>
      <c r="F16" s="3">
        <v>487.75</v>
      </c>
      <c r="G16" s="3">
        <f t="shared" si="0"/>
        <v>1463.25</v>
      </c>
    </row>
    <row r="17" spans="1:7" x14ac:dyDescent="0.2">
      <c r="A17" s="1" t="s">
        <v>32</v>
      </c>
      <c r="B17" s="2" t="s">
        <v>8</v>
      </c>
      <c r="C17" s="2" t="s">
        <v>9</v>
      </c>
      <c r="D17" s="2" t="s">
        <v>30</v>
      </c>
      <c r="E17">
        <v>5</v>
      </c>
      <c r="F17" s="3">
        <v>7909.99</v>
      </c>
      <c r="G17" s="3">
        <f t="shared" si="0"/>
        <v>39549.949999999997</v>
      </c>
    </row>
    <row r="18" spans="1:7" x14ac:dyDescent="0.2">
      <c r="A18" s="1" t="s">
        <v>33</v>
      </c>
      <c r="B18" s="2" t="s">
        <v>8</v>
      </c>
      <c r="C18" s="2" t="s">
        <v>11</v>
      </c>
      <c r="D18" s="2" t="s">
        <v>14</v>
      </c>
      <c r="E18">
        <v>8</v>
      </c>
      <c r="F18" s="3">
        <v>1373.48</v>
      </c>
      <c r="G18" s="3">
        <f t="shared" si="0"/>
        <v>10987.84</v>
      </c>
    </row>
    <row r="19" spans="1:7" x14ac:dyDescent="0.2">
      <c r="A19" s="1" t="s">
        <v>33</v>
      </c>
      <c r="B19" s="2" t="s">
        <v>13</v>
      </c>
      <c r="C19" s="2" t="s">
        <v>11</v>
      </c>
      <c r="D19" s="2" t="s">
        <v>20</v>
      </c>
      <c r="E19">
        <v>1</v>
      </c>
      <c r="F19" s="3">
        <v>868.89</v>
      </c>
      <c r="G19" s="3">
        <f t="shared" si="0"/>
        <v>868.89</v>
      </c>
    </row>
    <row r="20" spans="1:7" x14ac:dyDescent="0.2">
      <c r="A20" s="1" t="s">
        <v>34</v>
      </c>
      <c r="B20" s="2" t="s">
        <v>13</v>
      </c>
      <c r="C20" s="2" t="s">
        <v>21</v>
      </c>
      <c r="D20" s="2" t="s">
        <v>27</v>
      </c>
      <c r="E20">
        <v>1</v>
      </c>
      <c r="F20" s="3">
        <v>1643.32</v>
      </c>
      <c r="G20" s="3">
        <f t="shared" si="0"/>
        <v>1643.32</v>
      </c>
    </row>
    <row r="21" spans="1:7" x14ac:dyDescent="0.2">
      <c r="A21" s="1" t="s">
        <v>34</v>
      </c>
      <c r="B21" s="2" t="s">
        <v>19</v>
      </c>
      <c r="C21" s="2" t="s">
        <v>21</v>
      </c>
      <c r="D21" s="2" t="s">
        <v>22</v>
      </c>
      <c r="E21">
        <v>3</v>
      </c>
      <c r="F21" s="3">
        <v>1334.41</v>
      </c>
      <c r="G21" s="3">
        <f t="shared" si="0"/>
        <v>4003.2300000000005</v>
      </c>
    </row>
    <row r="22" spans="1:7" x14ac:dyDescent="0.2">
      <c r="A22" s="1" t="s">
        <v>35</v>
      </c>
      <c r="B22" s="2" t="s">
        <v>13</v>
      </c>
      <c r="C22" s="2" t="s">
        <v>25</v>
      </c>
      <c r="D22" s="2" t="s">
        <v>36</v>
      </c>
      <c r="E22">
        <v>5</v>
      </c>
      <c r="F22" s="3">
        <v>803.22</v>
      </c>
      <c r="G22" s="3">
        <f t="shared" si="0"/>
        <v>4016.1000000000004</v>
      </c>
    </row>
    <row r="23" spans="1:7" x14ac:dyDescent="0.2">
      <c r="A23" s="1" t="s">
        <v>35</v>
      </c>
      <c r="B23" s="2" t="s">
        <v>13</v>
      </c>
      <c r="C23" s="2" t="s">
        <v>9</v>
      </c>
      <c r="D23" s="2" t="s">
        <v>10</v>
      </c>
      <c r="E23">
        <v>8</v>
      </c>
      <c r="F23" s="3">
        <v>829.12</v>
      </c>
      <c r="G23" s="3">
        <f t="shared" si="0"/>
        <v>6632.96</v>
      </c>
    </row>
    <row r="24" spans="1:7" x14ac:dyDescent="0.2">
      <c r="A24" s="1" t="s">
        <v>35</v>
      </c>
      <c r="B24" s="2" t="s">
        <v>13</v>
      </c>
      <c r="C24" s="2" t="s">
        <v>21</v>
      </c>
      <c r="D24" s="2" t="s">
        <v>37</v>
      </c>
      <c r="E24">
        <v>7</v>
      </c>
      <c r="F24" s="3">
        <v>1973.03</v>
      </c>
      <c r="G24" s="3">
        <f t="shared" si="0"/>
        <v>13811.21</v>
      </c>
    </row>
    <row r="25" spans="1:7" x14ac:dyDescent="0.2">
      <c r="A25" s="1" t="s">
        <v>38</v>
      </c>
      <c r="B25" s="2" t="s">
        <v>13</v>
      </c>
      <c r="C25" s="2" t="s">
        <v>9</v>
      </c>
      <c r="D25" s="2" t="s">
        <v>17</v>
      </c>
      <c r="E25">
        <v>3</v>
      </c>
      <c r="F25" s="3">
        <v>3539.43</v>
      </c>
      <c r="G25" s="3">
        <f t="shared" si="0"/>
        <v>10618.289999999999</v>
      </c>
    </row>
    <row r="26" spans="1:7" x14ac:dyDescent="0.2">
      <c r="A26" s="1" t="s">
        <v>39</v>
      </c>
      <c r="B26" s="2" t="s">
        <v>13</v>
      </c>
      <c r="C26" s="2" t="s">
        <v>11</v>
      </c>
      <c r="D26" s="2" t="s">
        <v>31</v>
      </c>
      <c r="E26">
        <v>4</v>
      </c>
      <c r="F26" s="3">
        <v>556.1</v>
      </c>
      <c r="G26" s="3">
        <f t="shared" si="0"/>
        <v>2224.4</v>
      </c>
    </row>
    <row r="27" spans="1:7" x14ac:dyDescent="0.2">
      <c r="A27" s="1" t="s">
        <v>39</v>
      </c>
      <c r="B27" s="2" t="s">
        <v>8</v>
      </c>
      <c r="C27" s="2" t="s">
        <v>9</v>
      </c>
      <c r="D27" s="2" t="s">
        <v>17</v>
      </c>
      <c r="E27">
        <v>6</v>
      </c>
      <c r="F27" s="3">
        <v>3410.93</v>
      </c>
      <c r="G27" s="3">
        <f t="shared" si="0"/>
        <v>20465.579999999998</v>
      </c>
    </row>
    <row r="28" spans="1:7" x14ac:dyDescent="0.2">
      <c r="A28" s="1" t="s">
        <v>39</v>
      </c>
      <c r="B28" s="2" t="s">
        <v>19</v>
      </c>
      <c r="C28" s="2" t="s">
        <v>11</v>
      </c>
      <c r="D28" s="2" t="s">
        <v>20</v>
      </c>
      <c r="E28">
        <v>2</v>
      </c>
      <c r="F28" s="3">
        <v>784.14</v>
      </c>
      <c r="G28" s="3">
        <f t="shared" si="0"/>
        <v>1568.28</v>
      </c>
    </row>
    <row r="29" spans="1:7" x14ac:dyDescent="0.2">
      <c r="A29" s="1" t="s">
        <v>40</v>
      </c>
      <c r="B29" s="2" t="s">
        <v>16</v>
      </c>
      <c r="C29" s="2" t="s">
        <v>9</v>
      </c>
      <c r="D29" s="2" t="s">
        <v>41</v>
      </c>
      <c r="E29">
        <v>6</v>
      </c>
      <c r="F29" s="3">
        <v>2307.9299999999998</v>
      </c>
      <c r="G29" s="3">
        <f t="shared" si="0"/>
        <v>13847.579999999998</v>
      </c>
    </row>
    <row r="30" spans="1:7" x14ac:dyDescent="0.2">
      <c r="A30" s="1" t="s">
        <v>42</v>
      </c>
      <c r="B30" s="2" t="s">
        <v>8</v>
      </c>
      <c r="C30" s="2" t="s">
        <v>9</v>
      </c>
      <c r="D30" s="2" t="s">
        <v>43</v>
      </c>
      <c r="E30">
        <v>8</v>
      </c>
      <c r="F30" s="3">
        <v>1059.8499999999999</v>
      </c>
      <c r="G30" s="3">
        <f t="shared" si="0"/>
        <v>8478.7999999999993</v>
      </c>
    </row>
    <row r="31" spans="1:7" x14ac:dyDescent="0.2">
      <c r="A31" s="1" t="s">
        <v>44</v>
      </c>
      <c r="B31" s="2" t="s">
        <v>13</v>
      </c>
      <c r="C31" s="2" t="s">
        <v>25</v>
      </c>
      <c r="D31" s="2" t="s">
        <v>26</v>
      </c>
      <c r="E31">
        <v>2</v>
      </c>
      <c r="F31" s="3">
        <v>1470.79</v>
      </c>
      <c r="G31" s="3">
        <f t="shared" si="0"/>
        <v>2941.58</v>
      </c>
    </row>
    <row r="32" spans="1:7" x14ac:dyDescent="0.2">
      <c r="A32" s="1" t="s">
        <v>44</v>
      </c>
      <c r="B32" s="2" t="s">
        <v>13</v>
      </c>
      <c r="C32" s="2" t="s">
        <v>25</v>
      </c>
      <c r="D32" s="2" t="s">
        <v>45</v>
      </c>
      <c r="E32">
        <v>6</v>
      </c>
      <c r="F32" s="3">
        <v>534.36</v>
      </c>
      <c r="G32" s="3">
        <f t="shared" si="0"/>
        <v>3206.16</v>
      </c>
    </row>
    <row r="33" spans="1:7" x14ac:dyDescent="0.2">
      <c r="A33" s="1" t="s">
        <v>46</v>
      </c>
      <c r="B33" s="2" t="s">
        <v>8</v>
      </c>
      <c r="C33" s="2" t="s">
        <v>9</v>
      </c>
      <c r="D33" s="2" t="s">
        <v>17</v>
      </c>
      <c r="E33">
        <v>3</v>
      </c>
      <c r="F33" s="3">
        <v>6776.28</v>
      </c>
      <c r="G33" s="3">
        <f t="shared" si="0"/>
        <v>20328.84</v>
      </c>
    </row>
    <row r="34" spans="1:7" x14ac:dyDescent="0.2">
      <c r="A34" s="1" t="s">
        <v>47</v>
      </c>
      <c r="B34" s="2" t="s">
        <v>16</v>
      </c>
      <c r="C34" s="2" t="s">
        <v>11</v>
      </c>
      <c r="D34" s="2" t="s">
        <v>48</v>
      </c>
      <c r="E34">
        <v>6</v>
      </c>
      <c r="F34" s="3">
        <v>3539.4</v>
      </c>
      <c r="G34" s="3">
        <f t="shared" si="0"/>
        <v>21236.400000000001</v>
      </c>
    </row>
    <row r="35" spans="1:7" x14ac:dyDescent="0.2">
      <c r="A35" s="1" t="s">
        <v>47</v>
      </c>
      <c r="B35" s="2" t="s">
        <v>8</v>
      </c>
      <c r="C35" s="2" t="s">
        <v>25</v>
      </c>
      <c r="D35" s="2" t="s">
        <v>45</v>
      </c>
      <c r="E35">
        <v>7</v>
      </c>
      <c r="F35" s="3">
        <v>1113.72</v>
      </c>
      <c r="G35" s="3">
        <f t="shared" si="0"/>
        <v>7796.04</v>
      </c>
    </row>
    <row r="36" spans="1:7" x14ac:dyDescent="0.2">
      <c r="A36" s="1" t="s">
        <v>49</v>
      </c>
      <c r="B36" s="2" t="s">
        <v>8</v>
      </c>
      <c r="C36" s="2" t="s">
        <v>25</v>
      </c>
      <c r="D36" s="2" t="s">
        <v>50</v>
      </c>
      <c r="E36">
        <v>12</v>
      </c>
      <c r="F36" s="3">
        <v>1954.56</v>
      </c>
      <c r="G36" s="3">
        <f t="shared" si="0"/>
        <v>23454.720000000001</v>
      </c>
    </row>
    <row r="37" spans="1:7" x14ac:dyDescent="0.2">
      <c r="A37" s="1" t="s">
        <v>49</v>
      </c>
      <c r="B37" s="2" t="s">
        <v>16</v>
      </c>
      <c r="C37" s="2" t="s">
        <v>11</v>
      </c>
      <c r="D37" s="2" t="s">
        <v>12</v>
      </c>
      <c r="E37">
        <v>3</v>
      </c>
      <c r="F37" s="3">
        <v>3087.67</v>
      </c>
      <c r="G37" s="3">
        <f t="shared" si="0"/>
        <v>9263.01</v>
      </c>
    </row>
    <row r="38" spans="1:7" x14ac:dyDescent="0.2">
      <c r="A38" s="1" t="s">
        <v>51</v>
      </c>
      <c r="B38" s="2" t="s">
        <v>19</v>
      </c>
      <c r="C38" s="2" t="s">
        <v>21</v>
      </c>
      <c r="D38" s="2" t="s">
        <v>27</v>
      </c>
      <c r="E38">
        <v>5</v>
      </c>
      <c r="F38" s="3">
        <v>1741.24</v>
      </c>
      <c r="G38" s="3">
        <f t="shared" si="0"/>
        <v>8706.2000000000007</v>
      </c>
    </row>
    <row r="39" spans="1:7" x14ac:dyDescent="0.2">
      <c r="A39" s="1" t="s">
        <v>51</v>
      </c>
      <c r="B39" s="2" t="s">
        <v>19</v>
      </c>
      <c r="C39" s="2" t="s">
        <v>9</v>
      </c>
      <c r="D39" s="2" t="s">
        <v>43</v>
      </c>
      <c r="E39">
        <v>2</v>
      </c>
      <c r="F39" s="3">
        <v>847.58</v>
      </c>
      <c r="G39" s="3">
        <f t="shared" si="0"/>
        <v>1695.16</v>
      </c>
    </row>
    <row r="40" spans="1:7" x14ac:dyDescent="0.2">
      <c r="A40" s="1" t="s">
        <v>51</v>
      </c>
      <c r="B40" s="2" t="s">
        <v>19</v>
      </c>
      <c r="C40" s="2" t="s">
        <v>9</v>
      </c>
      <c r="D40" s="2" t="s">
        <v>41</v>
      </c>
      <c r="E40">
        <v>4</v>
      </c>
      <c r="F40" s="3">
        <v>2368.8200000000002</v>
      </c>
      <c r="G40" s="3">
        <f t="shared" si="0"/>
        <v>9475.2800000000007</v>
      </c>
    </row>
    <row r="41" spans="1:7" x14ac:dyDescent="0.2">
      <c r="A41" s="1" t="s">
        <v>52</v>
      </c>
      <c r="B41" s="2" t="s">
        <v>19</v>
      </c>
      <c r="C41" s="2" t="s">
        <v>25</v>
      </c>
      <c r="D41" s="2" t="s">
        <v>26</v>
      </c>
      <c r="E41">
        <v>4</v>
      </c>
      <c r="F41" s="3">
        <v>2160.4699999999998</v>
      </c>
      <c r="G41" s="3">
        <f t="shared" si="0"/>
        <v>8641.8799999999992</v>
      </c>
    </row>
    <row r="42" spans="1:7" x14ac:dyDescent="0.2">
      <c r="A42" s="1" t="s">
        <v>52</v>
      </c>
      <c r="B42" s="2" t="s">
        <v>8</v>
      </c>
      <c r="C42" s="2" t="s">
        <v>25</v>
      </c>
      <c r="D42" s="2" t="s">
        <v>45</v>
      </c>
      <c r="E42">
        <v>6</v>
      </c>
      <c r="F42" s="3">
        <v>1028.07</v>
      </c>
      <c r="G42" s="3">
        <f t="shared" si="0"/>
        <v>6168.42</v>
      </c>
    </row>
    <row r="43" spans="1:7" x14ac:dyDescent="0.2">
      <c r="A43" s="1" t="s">
        <v>53</v>
      </c>
      <c r="B43" s="2" t="s">
        <v>13</v>
      </c>
      <c r="C43" s="2" t="s">
        <v>9</v>
      </c>
      <c r="D43" s="2" t="s">
        <v>41</v>
      </c>
      <c r="E43">
        <v>6</v>
      </c>
      <c r="F43" s="3">
        <v>1802.96</v>
      </c>
      <c r="G43" s="3">
        <f t="shared" si="0"/>
        <v>10817.76</v>
      </c>
    </row>
    <row r="44" spans="1:7" x14ac:dyDescent="0.2">
      <c r="A44" s="1" t="s">
        <v>53</v>
      </c>
      <c r="B44" s="2" t="s">
        <v>19</v>
      </c>
      <c r="C44" s="2" t="s">
        <v>21</v>
      </c>
      <c r="D44" s="2" t="s">
        <v>28</v>
      </c>
      <c r="E44">
        <v>7</v>
      </c>
      <c r="F44" s="3">
        <v>4577.33</v>
      </c>
      <c r="G44" s="3">
        <f t="shared" si="0"/>
        <v>32041.309999999998</v>
      </c>
    </row>
    <row r="45" spans="1:7" x14ac:dyDescent="0.2">
      <c r="A45" s="1" t="s">
        <v>53</v>
      </c>
      <c r="B45" s="2" t="s">
        <v>13</v>
      </c>
      <c r="C45" s="2" t="s">
        <v>9</v>
      </c>
      <c r="D45" s="2" t="s">
        <v>10</v>
      </c>
      <c r="E45">
        <v>6</v>
      </c>
      <c r="F45" s="3">
        <v>616.83000000000004</v>
      </c>
      <c r="G45" s="3">
        <f t="shared" si="0"/>
        <v>3700.9800000000005</v>
      </c>
    </row>
    <row r="46" spans="1:7" x14ac:dyDescent="0.2">
      <c r="A46" s="1" t="s">
        <v>53</v>
      </c>
      <c r="B46" s="2" t="s">
        <v>19</v>
      </c>
      <c r="C46" s="2" t="s">
        <v>21</v>
      </c>
      <c r="D46" s="2" t="s">
        <v>28</v>
      </c>
      <c r="E46">
        <v>3</v>
      </c>
      <c r="F46" s="3">
        <v>3814.64</v>
      </c>
      <c r="G46" s="3">
        <f t="shared" si="0"/>
        <v>11443.92</v>
      </c>
    </row>
    <row r="47" spans="1:7" x14ac:dyDescent="0.2">
      <c r="A47" s="1" t="s">
        <v>54</v>
      </c>
      <c r="B47" s="2" t="s">
        <v>19</v>
      </c>
      <c r="C47" s="2" t="s">
        <v>21</v>
      </c>
      <c r="D47" s="2" t="s">
        <v>37</v>
      </c>
      <c r="E47">
        <v>7</v>
      </c>
      <c r="F47" s="3">
        <v>1822.79</v>
      </c>
      <c r="G47" s="3">
        <f t="shared" si="0"/>
        <v>12759.529999999999</v>
      </c>
    </row>
    <row r="48" spans="1:7" x14ac:dyDescent="0.2">
      <c r="A48" s="1" t="s">
        <v>54</v>
      </c>
      <c r="B48" s="2" t="s">
        <v>13</v>
      </c>
      <c r="C48" s="2" t="s">
        <v>25</v>
      </c>
      <c r="D48" s="2" t="s">
        <v>45</v>
      </c>
      <c r="E48">
        <v>8</v>
      </c>
      <c r="F48" s="3">
        <v>1176.08</v>
      </c>
      <c r="G48" s="3">
        <f t="shared" si="0"/>
        <v>9408.64</v>
      </c>
    </row>
    <row r="49" spans="1:7" x14ac:dyDescent="0.2">
      <c r="A49" s="1" t="s">
        <v>55</v>
      </c>
      <c r="B49" s="2" t="s">
        <v>16</v>
      </c>
      <c r="C49" s="2" t="s">
        <v>21</v>
      </c>
      <c r="D49" s="2" t="s">
        <v>28</v>
      </c>
      <c r="E49">
        <v>5</v>
      </c>
      <c r="F49" s="3">
        <v>3940.86</v>
      </c>
      <c r="G49" s="3">
        <f t="shared" si="0"/>
        <v>19704.3</v>
      </c>
    </row>
    <row r="50" spans="1:7" x14ac:dyDescent="0.2">
      <c r="A50" s="1" t="s">
        <v>55</v>
      </c>
      <c r="B50" s="2" t="s">
        <v>8</v>
      </c>
      <c r="C50" s="2" t="s">
        <v>25</v>
      </c>
      <c r="D50" s="2" t="s">
        <v>26</v>
      </c>
      <c r="E50">
        <v>10</v>
      </c>
      <c r="F50" s="3">
        <v>1905.97</v>
      </c>
      <c r="G50" s="3">
        <f t="shared" si="0"/>
        <v>19059.7</v>
      </c>
    </row>
    <row r="51" spans="1:7" x14ac:dyDescent="0.2">
      <c r="A51" s="1" t="s">
        <v>56</v>
      </c>
      <c r="B51" s="2" t="s">
        <v>13</v>
      </c>
      <c r="C51" s="2" t="s">
        <v>21</v>
      </c>
      <c r="D51" s="2" t="s">
        <v>27</v>
      </c>
      <c r="E51">
        <v>8</v>
      </c>
      <c r="F51" s="3">
        <v>990.49</v>
      </c>
      <c r="G51" s="3">
        <f t="shared" si="0"/>
        <v>7923.92</v>
      </c>
    </row>
    <row r="52" spans="1:7" x14ac:dyDescent="0.2">
      <c r="A52" s="1" t="s">
        <v>57</v>
      </c>
      <c r="B52" s="2" t="s">
        <v>13</v>
      </c>
      <c r="C52" s="2" t="s">
        <v>21</v>
      </c>
      <c r="D52" s="2" t="s">
        <v>37</v>
      </c>
      <c r="E52">
        <v>6</v>
      </c>
      <c r="F52" s="3">
        <v>2920.83</v>
      </c>
      <c r="G52" s="3">
        <f t="shared" si="0"/>
        <v>17524.98</v>
      </c>
    </row>
    <row r="53" spans="1:7" x14ac:dyDescent="0.2">
      <c r="A53" s="1" t="s">
        <v>57</v>
      </c>
      <c r="B53" s="2" t="s">
        <v>8</v>
      </c>
      <c r="C53" s="2" t="s">
        <v>21</v>
      </c>
      <c r="D53" s="2" t="s">
        <v>58</v>
      </c>
      <c r="E53">
        <v>9</v>
      </c>
      <c r="F53" s="3">
        <v>2527.9699999999998</v>
      </c>
      <c r="G53" s="3">
        <f t="shared" si="0"/>
        <v>22751.73</v>
      </c>
    </row>
    <row r="54" spans="1:7" x14ac:dyDescent="0.2">
      <c r="A54" s="1" t="s">
        <v>59</v>
      </c>
      <c r="B54" s="2" t="s">
        <v>16</v>
      </c>
      <c r="C54" s="2" t="s">
        <v>11</v>
      </c>
      <c r="D54" s="2" t="s">
        <v>31</v>
      </c>
      <c r="E54">
        <v>7</v>
      </c>
      <c r="F54" s="3">
        <v>443.71</v>
      </c>
      <c r="G54" s="3">
        <f t="shared" si="0"/>
        <v>3105.97</v>
      </c>
    </row>
    <row r="55" spans="1:7" x14ac:dyDescent="0.2">
      <c r="A55" s="1" t="s">
        <v>59</v>
      </c>
      <c r="B55" s="2" t="s">
        <v>16</v>
      </c>
      <c r="C55" s="2" t="s">
        <v>11</v>
      </c>
      <c r="D55" s="2" t="s">
        <v>48</v>
      </c>
      <c r="E55">
        <v>4</v>
      </c>
      <c r="F55" s="3">
        <v>3431.57</v>
      </c>
      <c r="G55" s="3">
        <f t="shared" si="0"/>
        <v>13726.28</v>
      </c>
    </row>
    <row r="56" spans="1:7" x14ac:dyDescent="0.2">
      <c r="A56" s="1" t="s">
        <v>59</v>
      </c>
      <c r="B56" s="2" t="s">
        <v>8</v>
      </c>
      <c r="C56" s="2" t="s">
        <v>21</v>
      </c>
      <c r="D56" s="2" t="s">
        <v>28</v>
      </c>
      <c r="E56">
        <v>8</v>
      </c>
      <c r="F56" s="3">
        <v>5079.63</v>
      </c>
      <c r="G56" s="3">
        <f t="shared" si="0"/>
        <v>40637.040000000001</v>
      </c>
    </row>
    <row r="57" spans="1:7" x14ac:dyDescent="0.2">
      <c r="A57" s="1" t="s">
        <v>60</v>
      </c>
      <c r="B57" s="2" t="s">
        <v>13</v>
      </c>
      <c r="C57" s="2" t="s">
        <v>21</v>
      </c>
      <c r="D57" s="2" t="s">
        <v>22</v>
      </c>
      <c r="E57">
        <v>3</v>
      </c>
      <c r="F57" s="3">
        <v>739.82</v>
      </c>
      <c r="G57" s="3">
        <f t="shared" si="0"/>
        <v>2219.46</v>
      </c>
    </row>
    <row r="58" spans="1:7" x14ac:dyDescent="0.2">
      <c r="A58" s="1" t="s">
        <v>60</v>
      </c>
      <c r="B58" s="2" t="s">
        <v>8</v>
      </c>
      <c r="C58" s="2" t="s">
        <v>21</v>
      </c>
      <c r="D58" s="2" t="s">
        <v>27</v>
      </c>
      <c r="E58">
        <v>3</v>
      </c>
      <c r="F58" s="3">
        <v>1418.65</v>
      </c>
      <c r="G58" s="3">
        <f t="shared" si="0"/>
        <v>4255.9500000000007</v>
      </c>
    </row>
    <row r="59" spans="1:7" x14ac:dyDescent="0.2">
      <c r="A59" s="1" t="s">
        <v>61</v>
      </c>
      <c r="B59" s="2" t="s">
        <v>16</v>
      </c>
      <c r="C59" s="2" t="s">
        <v>11</v>
      </c>
      <c r="D59" s="2" t="s">
        <v>31</v>
      </c>
      <c r="E59">
        <v>6</v>
      </c>
      <c r="F59" s="3">
        <v>374.8</v>
      </c>
      <c r="G59" s="3">
        <f t="shared" si="0"/>
        <v>2248.8000000000002</v>
      </c>
    </row>
    <row r="60" spans="1:7" x14ac:dyDescent="0.2">
      <c r="A60" s="1" t="s">
        <v>61</v>
      </c>
      <c r="B60" s="2" t="s">
        <v>8</v>
      </c>
      <c r="C60" s="2" t="s">
        <v>11</v>
      </c>
      <c r="D60" s="2" t="s">
        <v>12</v>
      </c>
      <c r="E60">
        <v>8</v>
      </c>
      <c r="F60" s="3">
        <v>1950.85</v>
      </c>
      <c r="G60" s="3">
        <f t="shared" si="0"/>
        <v>15606.8</v>
      </c>
    </row>
    <row r="61" spans="1:7" x14ac:dyDescent="0.2">
      <c r="A61" s="1" t="s">
        <v>61</v>
      </c>
      <c r="B61" s="2" t="s">
        <v>8</v>
      </c>
      <c r="C61" s="2" t="s">
        <v>21</v>
      </c>
      <c r="D61" s="2" t="s">
        <v>27</v>
      </c>
      <c r="E61">
        <v>8</v>
      </c>
      <c r="F61" s="3">
        <v>1061.98</v>
      </c>
      <c r="G61" s="3">
        <f t="shared" si="0"/>
        <v>8495.84</v>
      </c>
    </row>
    <row r="62" spans="1:7" x14ac:dyDescent="0.2">
      <c r="A62" s="1" t="s">
        <v>61</v>
      </c>
      <c r="B62" s="2" t="s">
        <v>8</v>
      </c>
      <c r="C62" s="2" t="s">
        <v>9</v>
      </c>
      <c r="D62" s="2" t="s">
        <v>17</v>
      </c>
      <c r="E62">
        <v>3</v>
      </c>
      <c r="F62" s="3">
        <v>4365.1499999999996</v>
      </c>
      <c r="G62" s="3">
        <f t="shared" si="0"/>
        <v>13095.449999999999</v>
      </c>
    </row>
    <row r="63" spans="1:7" x14ac:dyDescent="0.2">
      <c r="A63" s="1" t="s">
        <v>61</v>
      </c>
      <c r="B63" s="2" t="s">
        <v>8</v>
      </c>
      <c r="C63" s="2" t="s">
        <v>11</v>
      </c>
      <c r="D63" s="2" t="s">
        <v>14</v>
      </c>
      <c r="E63">
        <v>5</v>
      </c>
      <c r="F63" s="3">
        <v>1707.56</v>
      </c>
      <c r="G63" s="3">
        <f t="shared" si="0"/>
        <v>8537.7999999999993</v>
      </c>
    </row>
    <row r="64" spans="1:7" x14ac:dyDescent="0.2">
      <c r="A64" s="1" t="s">
        <v>61</v>
      </c>
      <c r="B64" s="2" t="s">
        <v>16</v>
      </c>
      <c r="C64" s="2" t="s">
        <v>9</v>
      </c>
      <c r="D64" s="2" t="s">
        <v>43</v>
      </c>
      <c r="E64">
        <v>5</v>
      </c>
      <c r="F64" s="3">
        <v>637.16</v>
      </c>
      <c r="G64" s="3">
        <f t="shared" si="0"/>
        <v>3185.7999999999997</v>
      </c>
    </row>
    <row r="65" spans="1:7" x14ac:dyDescent="0.2">
      <c r="A65" s="1" t="s">
        <v>62</v>
      </c>
      <c r="B65" s="2" t="s">
        <v>8</v>
      </c>
      <c r="C65" s="2" t="s">
        <v>11</v>
      </c>
      <c r="D65" s="2" t="s">
        <v>48</v>
      </c>
      <c r="E65">
        <v>7</v>
      </c>
      <c r="F65" s="3">
        <v>3796.25</v>
      </c>
      <c r="G65" s="3">
        <f t="shared" si="0"/>
        <v>26573.75</v>
      </c>
    </row>
    <row r="66" spans="1:7" x14ac:dyDescent="0.2">
      <c r="A66" s="1" t="s">
        <v>62</v>
      </c>
      <c r="B66" s="2" t="s">
        <v>8</v>
      </c>
      <c r="C66" s="2" t="s">
        <v>11</v>
      </c>
      <c r="D66" s="2" t="s">
        <v>20</v>
      </c>
      <c r="E66">
        <v>8</v>
      </c>
      <c r="F66" s="3">
        <v>723.34</v>
      </c>
      <c r="G66" s="3">
        <f t="shared" ref="G66:G129" si="1">E66*F66</f>
        <v>5786.72</v>
      </c>
    </row>
    <row r="67" spans="1:7" x14ac:dyDescent="0.2">
      <c r="A67" s="1" t="s">
        <v>63</v>
      </c>
      <c r="B67" s="2" t="s">
        <v>13</v>
      </c>
      <c r="C67" s="2" t="s">
        <v>25</v>
      </c>
      <c r="D67" s="2" t="s">
        <v>45</v>
      </c>
      <c r="E67">
        <v>8</v>
      </c>
      <c r="F67" s="3">
        <v>791.04</v>
      </c>
      <c r="G67" s="3">
        <f t="shared" si="1"/>
        <v>6328.32</v>
      </c>
    </row>
    <row r="68" spans="1:7" x14ac:dyDescent="0.2">
      <c r="A68" s="1" t="s">
        <v>63</v>
      </c>
      <c r="B68" s="2" t="s">
        <v>16</v>
      </c>
      <c r="C68" s="2" t="s">
        <v>25</v>
      </c>
      <c r="D68" s="2" t="s">
        <v>45</v>
      </c>
      <c r="E68">
        <v>2</v>
      </c>
      <c r="F68" s="3">
        <v>816.4</v>
      </c>
      <c r="G68" s="3">
        <f t="shared" si="1"/>
        <v>1632.8</v>
      </c>
    </row>
    <row r="69" spans="1:7" x14ac:dyDescent="0.2">
      <c r="A69" s="1" t="s">
        <v>63</v>
      </c>
      <c r="B69" s="2" t="s">
        <v>8</v>
      </c>
      <c r="C69" s="2" t="s">
        <v>25</v>
      </c>
      <c r="D69" s="2" t="s">
        <v>64</v>
      </c>
      <c r="E69">
        <v>8</v>
      </c>
      <c r="F69" s="3">
        <v>1171.58</v>
      </c>
      <c r="G69" s="3">
        <f t="shared" si="1"/>
        <v>9372.64</v>
      </c>
    </row>
    <row r="70" spans="1:7" x14ac:dyDescent="0.2">
      <c r="A70" s="1" t="s">
        <v>65</v>
      </c>
      <c r="B70" s="2" t="s">
        <v>16</v>
      </c>
      <c r="C70" s="2" t="s">
        <v>11</v>
      </c>
      <c r="D70" s="2" t="s">
        <v>12</v>
      </c>
      <c r="E70">
        <v>2</v>
      </c>
      <c r="F70" s="3">
        <v>3038.63</v>
      </c>
      <c r="G70" s="3">
        <f t="shared" si="1"/>
        <v>6077.26</v>
      </c>
    </row>
    <row r="71" spans="1:7" x14ac:dyDescent="0.2">
      <c r="A71" s="1" t="s">
        <v>65</v>
      </c>
      <c r="B71" s="2" t="s">
        <v>16</v>
      </c>
      <c r="C71" s="2" t="s">
        <v>11</v>
      </c>
      <c r="D71" s="2" t="s">
        <v>12</v>
      </c>
      <c r="E71">
        <v>8</v>
      </c>
      <c r="F71" s="3">
        <v>2669.37</v>
      </c>
      <c r="G71" s="3">
        <f t="shared" si="1"/>
        <v>21354.959999999999</v>
      </c>
    </row>
    <row r="72" spans="1:7" x14ac:dyDescent="0.2">
      <c r="A72" s="1" t="s">
        <v>66</v>
      </c>
      <c r="B72" s="2" t="s">
        <v>13</v>
      </c>
      <c r="C72" s="2" t="s">
        <v>11</v>
      </c>
      <c r="D72" s="2" t="s">
        <v>14</v>
      </c>
      <c r="E72">
        <v>1</v>
      </c>
      <c r="F72" s="3">
        <v>1444.59</v>
      </c>
      <c r="G72" s="3">
        <f t="shared" si="1"/>
        <v>1444.59</v>
      </c>
    </row>
    <row r="73" spans="1:7" x14ac:dyDescent="0.2">
      <c r="A73" s="1" t="s">
        <v>66</v>
      </c>
      <c r="B73" s="2" t="s">
        <v>8</v>
      </c>
      <c r="C73" s="2" t="s">
        <v>21</v>
      </c>
      <c r="D73" s="2" t="s">
        <v>22</v>
      </c>
      <c r="E73">
        <v>1</v>
      </c>
      <c r="F73" s="3">
        <v>871.31</v>
      </c>
      <c r="G73" s="3">
        <f t="shared" si="1"/>
        <v>871.31</v>
      </c>
    </row>
    <row r="74" spans="1:7" x14ac:dyDescent="0.2">
      <c r="A74" s="1" t="s">
        <v>66</v>
      </c>
      <c r="B74" s="2" t="s">
        <v>8</v>
      </c>
      <c r="C74" s="2" t="s">
        <v>21</v>
      </c>
      <c r="D74" s="2" t="s">
        <v>58</v>
      </c>
      <c r="E74">
        <v>1</v>
      </c>
      <c r="F74" s="3">
        <v>2717.89</v>
      </c>
      <c r="G74" s="3">
        <f t="shared" si="1"/>
        <v>2717.89</v>
      </c>
    </row>
    <row r="75" spans="1:7" x14ac:dyDescent="0.2">
      <c r="A75" s="1" t="s">
        <v>66</v>
      </c>
      <c r="B75" s="2" t="s">
        <v>16</v>
      </c>
      <c r="C75" s="2" t="s">
        <v>9</v>
      </c>
      <c r="D75" s="2" t="s">
        <v>10</v>
      </c>
      <c r="E75">
        <v>1</v>
      </c>
      <c r="F75" s="3">
        <v>424.07</v>
      </c>
      <c r="G75" s="3">
        <f t="shared" si="1"/>
        <v>424.07</v>
      </c>
    </row>
    <row r="76" spans="1:7" x14ac:dyDescent="0.2">
      <c r="A76" s="1" t="s">
        <v>66</v>
      </c>
      <c r="B76" s="2" t="s">
        <v>8</v>
      </c>
      <c r="C76" s="2" t="s">
        <v>9</v>
      </c>
      <c r="D76" s="2" t="s">
        <v>41</v>
      </c>
      <c r="E76">
        <v>9</v>
      </c>
      <c r="F76" s="3">
        <v>2532.16</v>
      </c>
      <c r="G76" s="3">
        <f t="shared" si="1"/>
        <v>22789.439999999999</v>
      </c>
    </row>
    <row r="77" spans="1:7" x14ac:dyDescent="0.2">
      <c r="A77" s="1" t="s">
        <v>67</v>
      </c>
      <c r="B77" s="2" t="s">
        <v>19</v>
      </c>
      <c r="C77" s="2" t="s">
        <v>9</v>
      </c>
      <c r="D77" s="2" t="s">
        <v>10</v>
      </c>
      <c r="E77">
        <v>6</v>
      </c>
      <c r="F77" s="3">
        <v>739.76</v>
      </c>
      <c r="G77" s="3">
        <f t="shared" si="1"/>
        <v>4438.5599999999995</v>
      </c>
    </row>
    <row r="78" spans="1:7" x14ac:dyDescent="0.2">
      <c r="A78" s="1" t="s">
        <v>67</v>
      </c>
      <c r="B78" s="2" t="s">
        <v>16</v>
      </c>
      <c r="C78" s="2" t="s">
        <v>25</v>
      </c>
      <c r="D78" s="2" t="s">
        <v>26</v>
      </c>
      <c r="E78">
        <v>5</v>
      </c>
      <c r="F78" s="3">
        <v>1325.49</v>
      </c>
      <c r="G78" s="3">
        <f t="shared" si="1"/>
        <v>6627.45</v>
      </c>
    </row>
    <row r="79" spans="1:7" x14ac:dyDescent="0.2">
      <c r="A79" s="1" t="s">
        <v>67</v>
      </c>
      <c r="B79" s="2" t="s">
        <v>13</v>
      </c>
      <c r="C79" s="2" t="s">
        <v>21</v>
      </c>
      <c r="D79" s="2" t="s">
        <v>22</v>
      </c>
      <c r="E79">
        <v>6</v>
      </c>
      <c r="F79" s="3">
        <v>943.23</v>
      </c>
      <c r="G79" s="3">
        <f t="shared" si="1"/>
        <v>5659.38</v>
      </c>
    </row>
    <row r="80" spans="1:7" x14ac:dyDescent="0.2">
      <c r="A80" s="1" t="s">
        <v>67</v>
      </c>
      <c r="B80" s="2" t="s">
        <v>13</v>
      </c>
      <c r="C80" s="2" t="s">
        <v>11</v>
      </c>
      <c r="D80" s="2" t="s">
        <v>20</v>
      </c>
      <c r="E80">
        <v>8</v>
      </c>
      <c r="F80" s="3">
        <v>870.64</v>
      </c>
      <c r="G80" s="3">
        <f t="shared" si="1"/>
        <v>6965.12</v>
      </c>
    </row>
    <row r="81" spans="1:7" x14ac:dyDescent="0.2">
      <c r="A81" s="1" t="s">
        <v>68</v>
      </c>
      <c r="B81" s="2" t="s">
        <v>13</v>
      </c>
      <c r="C81" s="2" t="s">
        <v>21</v>
      </c>
      <c r="D81" s="2" t="s">
        <v>28</v>
      </c>
      <c r="E81">
        <v>6</v>
      </c>
      <c r="F81" s="3">
        <v>3767.51</v>
      </c>
      <c r="G81" s="3">
        <f t="shared" si="1"/>
        <v>22605.06</v>
      </c>
    </row>
    <row r="82" spans="1:7" x14ac:dyDescent="0.2">
      <c r="A82" s="1" t="s">
        <v>69</v>
      </c>
      <c r="B82" s="2" t="s">
        <v>13</v>
      </c>
      <c r="C82" s="2" t="s">
        <v>21</v>
      </c>
      <c r="D82" s="2" t="s">
        <v>28</v>
      </c>
      <c r="E82">
        <v>8</v>
      </c>
      <c r="F82" s="3">
        <v>4357.7700000000004</v>
      </c>
      <c r="G82" s="3">
        <f t="shared" si="1"/>
        <v>34862.160000000003</v>
      </c>
    </row>
    <row r="83" spans="1:7" x14ac:dyDescent="0.2">
      <c r="A83" s="1" t="s">
        <v>69</v>
      </c>
      <c r="B83" s="2" t="s">
        <v>8</v>
      </c>
      <c r="C83" s="2" t="s">
        <v>21</v>
      </c>
      <c r="D83" s="2" t="s">
        <v>58</v>
      </c>
      <c r="E83">
        <v>6</v>
      </c>
      <c r="F83" s="3">
        <v>2722.66</v>
      </c>
      <c r="G83" s="3">
        <f t="shared" si="1"/>
        <v>16335.96</v>
      </c>
    </row>
    <row r="84" spans="1:7" x14ac:dyDescent="0.2">
      <c r="A84" s="1" t="s">
        <v>69</v>
      </c>
      <c r="B84" s="2" t="s">
        <v>16</v>
      </c>
      <c r="C84" s="2" t="s">
        <v>9</v>
      </c>
      <c r="D84" s="2" t="s">
        <v>43</v>
      </c>
      <c r="E84">
        <v>3</v>
      </c>
      <c r="F84" s="3">
        <v>1112.3900000000001</v>
      </c>
      <c r="G84" s="3">
        <f t="shared" si="1"/>
        <v>3337.17</v>
      </c>
    </row>
    <row r="85" spans="1:7" x14ac:dyDescent="0.2">
      <c r="A85" s="1" t="s">
        <v>69</v>
      </c>
      <c r="B85" s="2" t="s">
        <v>8</v>
      </c>
      <c r="C85" s="2" t="s">
        <v>9</v>
      </c>
      <c r="D85" s="2" t="s">
        <v>17</v>
      </c>
      <c r="E85">
        <v>6</v>
      </c>
      <c r="F85" s="3">
        <v>5383.64</v>
      </c>
      <c r="G85" s="3">
        <f t="shared" si="1"/>
        <v>32301.840000000004</v>
      </c>
    </row>
    <row r="86" spans="1:7" x14ac:dyDescent="0.2">
      <c r="A86" s="1" t="s">
        <v>70</v>
      </c>
      <c r="B86" s="2" t="s">
        <v>13</v>
      </c>
      <c r="C86" s="2" t="s">
        <v>21</v>
      </c>
      <c r="D86" s="2" t="s">
        <v>37</v>
      </c>
      <c r="E86">
        <v>4</v>
      </c>
      <c r="F86" s="3">
        <v>1895.16</v>
      </c>
      <c r="G86" s="3">
        <f t="shared" si="1"/>
        <v>7580.64</v>
      </c>
    </row>
    <row r="87" spans="1:7" x14ac:dyDescent="0.2">
      <c r="A87" s="1" t="s">
        <v>71</v>
      </c>
      <c r="B87" s="2" t="s">
        <v>8</v>
      </c>
      <c r="C87" s="2" t="s">
        <v>9</v>
      </c>
      <c r="D87" s="2" t="s">
        <v>43</v>
      </c>
      <c r="E87">
        <v>7</v>
      </c>
      <c r="F87" s="3">
        <v>1225.1199999999999</v>
      </c>
      <c r="G87" s="3">
        <f t="shared" si="1"/>
        <v>8575.84</v>
      </c>
    </row>
    <row r="88" spans="1:7" x14ac:dyDescent="0.2">
      <c r="A88" s="1" t="s">
        <v>71</v>
      </c>
      <c r="B88" s="2" t="s">
        <v>16</v>
      </c>
      <c r="C88" s="2" t="s">
        <v>11</v>
      </c>
      <c r="D88" s="2" t="s">
        <v>14</v>
      </c>
      <c r="E88">
        <v>3</v>
      </c>
      <c r="F88" s="3">
        <v>1472.57</v>
      </c>
      <c r="G88" s="3">
        <f t="shared" si="1"/>
        <v>4417.71</v>
      </c>
    </row>
    <row r="89" spans="1:7" x14ac:dyDescent="0.2">
      <c r="A89" s="1" t="s">
        <v>71</v>
      </c>
      <c r="B89" s="2" t="s">
        <v>16</v>
      </c>
      <c r="C89" s="2" t="s">
        <v>9</v>
      </c>
      <c r="D89" s="2" t="s">
        <v>30</v>
      </c>
      <c r="E89">
        <v>4</v>
      </c>
      <c r="F89" s="3">
        <v>6823.67</v>
      </c>
      <c r="G89" s="3">
        <f t="shared" si="1"/>
        <v>27294.68</v>
      </c>
    </row>
    <row r="90" spans="1:7" x14ac:dyDescent="0.2">
      <c r="A90" s="1" t="s">
        <v>72</v>
      </c>
      <c r="B90" s="2" t="s">
        <v>19</v>
      </c>
      <c r="C90" s="2" t="s">
        <v>25</v>
      </c>
      <c r="D90" s="2" t="s">
        <v>64</v>
      </c>
      <c r="E90">
        <v>7</v>
      </c>
      <c r="F90" s="3">
        <v>1521.55</v>
      </c>
      <c r="G90" s="3">
        <f t="shared" si="1"/>
        <v>10650.85</v>
      </c>
    </row>
    <row r="91" spans="1:7" x14ac:dyDescent="0.2">
      <c r="A91" s="1" t="s">
        <v>72</v>
      </c>
      <c r="B91" s="2" t="s">
        <v>19</v>
      </c>
      <c r="C91" s="2" t="s">
        <v>9</v>
      </c>
      <c r="D91" s="2" t="s">
        <v>30</v>
      </c>
      <c r="E91">
        <v>7</v>
      </c>
      <c r="F91" s="3">
        <v>5462.94</v>
      </c>
      <c r="G91" s="3">
        <f t="shared" si="1"/>
        <v>38240.579999999994</v>
      </c>
    </row>
    <row r="92" spans="1:7" x14ac:dyDescent="0.2">
      <c r="A92" s="1" t="s">
        <v>72</v>
      </c>
      <c r="B92" s="2" t="s">
        <v>8</v>
      </c>
      <c r="C92" s="2" t="s">
        <v>25</v>
      </c>
      <c r="D92" s="2" t="s">
        <v>26</v>
      </c>
      <c r="E92">
        <v>5</v>
      </c>
      <c r="F92" s="3">
        <v>967</v>
      </c>
      <c r="G92" s="3">
        <f t="shared" si="1"/>
        <v>4835</v>
      </c>
    </row>
    <row r="93" spans="1:7" x14ac:dyDescent="0.2">
      <c r="A93" s="1" t="s">
        <v>72</v>
      </c>
      <c r="B93" s="2" t="s">
        <v>13</v>
      </c>
      <c r="C93" s="2" t="s">
        <v>25</v>
      </c>
      <c r="D93" s="2" t="s">
        <v>36</v>
      </c>
      <c r="E93">
        <v>7</v>
      </c>
      <c r="F93" s="3">
        <v>811.01</v>
      </c>
      <c r="G93" s="3">
        <f t="shared" si="1"/>
        <v>5677.07</v>
      </c>
    </row>
    <row r="94" spans="1:7" x14ac:dyDescent="0.2">
      <c r="A94" s="1" t="s">
        <v>73</v>
      </c>
      <c r="B94" s="2" t="s">
        <v>8</v>
      </c>
      <c r="C94" s="2" t="s">
        <v>11</v>
      </c>
      <c r="D94" s="2" t="s">
        <v>20</v>
      </c>
      <c r="E94">
        <v>3</v>
      </c>
      <c r="F94" s="3">
        <v>923.85</v>
      </c>
      <c r="G94" s="3">
        <f t="shared" si="1"/>
        <v>2771.55</v>
      </c>
    </row>
    <row r="95" spans="1:7" x14ac:dyDescent="0.2">
      <c r="A95" s="1" t="s">
        <v>73</v>
      </c>
      <c r="B95" s="2" t="s">
        <v>16</v>
      </c>
      <c r="C95" s="2" t="s">
        <v>25</v>
      </c>
      <c r="D95" s="2" t="s">
        <v>36</v>
      </c>
      <c r="E95">
        <v>1</v>
      </c>
      <c r="F95" s="3">
        <v>899.95</v>
      </c>
      <c r="G95" s="3">
        <f t="shared" si="1"/>
        <v>899.95</v>
      </c>
    </row>
    <row r="96" spans="1:7" x14ac:dyDescent="0.2">
      <c r="A96" s="1" t="s">
        <v>74</v>
      </c>
      <c r="B96" s="2" t="s">
        <v>8</v>
      </c>
      <c r="C96" s="2" t="s">
        <v>11</v>
      </c>
      <c r="D96" s="2" t="s">
        <v>14</v>
      </c>
      <c r="E96">
        <v>2</v>
      </c>
      <c r="F96" s="3">
        <v>1360.17</v>
      </c>
      <c r="G96" s="3">
        <f t="shared" si="1"/>
        <v>2720.34</v>
      </c>
    </row>
    <row r="97" spans="1:7" x14ac:dyDescent="0.2">
      <c r="A97" s="1" t="s">
        <v>74</v>
      </c>
      <c r="B97" s="2" t="s">
        <v>16</v>
      </c>
      <c r="C97" s="2" t="s">
        <v>21</v>
      </c>
      <c r="D97" s="2" t="s">
        <v>28</v>
      </c>
      <c r="E97">
        <v>1</v>
      </c>
      <c r="F97" s="3">
        <v>5007.7299999999996</v>
      </c>
      <c r="G97" s="3">
        <f t="shared" si="1"/>
        <v>5007.7299999999996</v>
      </c>
    </row>
    <row r="98" spans="1:7" x14ac:dyDescent="0.2">
      <c r="A98" s="1" t="s">
        <v>74</v>
      </c>
      <c r="B98" s="2" t="s">
        <v>19</v>
      </c>
      <c r="C98" s="2" t="s">
        <v>21</v>
      </c>
      <c r="D98" s="2" t="s">
        <v>58</v>
      </c>
      <c r="E98">
        <v>2</v>
      </c>
      <c r="F98" s="3">
        <v>2247.73</v>
      </c>
      <c r="G98" s="3">
        <f t="shared" si="1"/>
        <v>4495.46</v>
      </c>
    </row>
    <row r="99" spans="1:7" x14ac:dyDescent="0.2">
      <c r="A99" s="1" t="s">
        <v>75</v>
      </c>
      <c r="B99" s="2" t="s">
        <v>8</v>
      </c>
      <c r="C99" s="2" t="s">
        <v>21</v>
      </c>
      <c r="D99" s="2" t="s">
        <v>27</v>
      </c>
      <c r="E99">
        <v>7</v>
      </c>
      <c r="F99" s="3">
        <v>1630.59</v>
      </c>
      <c r="G99" s="3">
        <f t="shared" si="1"/>
        <v>11414.13</v>
      </c>
    </row>
    <row r="100" spans="1:7" x14ac:dyDescent="0.2">
      <c r="A100" s="1" t="s">
        <v>75</v>
      </c>
      <c r="B100" s="2" t="s">
        <v>16</v>
      </c>
      <c r="C100" s="2" t="s">
        <v>9</v>
      </c>
      <c r="D100" s="2" t="s">
        <v>43</v>
      </c>
      <c r="E100">
        <v>6</v>
      </c>
      <c r="F100" s="3">
        <v>748.22</v>
      </c>
      <c r="G100" s="3">
        <f t="shared" si="1"/>
        <v>4489.32</v>
      </c>
    </row>
    <row r="101" spans="1:7" x14ac:dyDescent="0.2">
      <c r="A101" s="1" t="s">
        <v>75</v>
      </c>
      <c r="B101" s="2" t="s">
        <v>19</v>
      </c>
      <c r="C101" s="2" t="s">
        <v>25</v>
      </c>
      <c r="D101" s="2" t="s">
        <v>64</v>
      </c>
      <c r="E101">
        <v>3</v>
      </c>
      <c r="F101" s="3">
        <v>1040.81</v>
      </c>
      <c r="G101" s="3">
        <f t="shared" si="1"/>
        <v>3122.43</v>
      </c>
    </row>
    <row r="102" spans="1:7" x14ac:dyDescent="0.2">
      <c r="A102" s="1" t="s">
        <v>76</v>
      </c>
      <c r="B102" s="2" t="s">
        <v>16</v>
      </c>
      <c r="C102" s="2" t="s">
        <v>25</v>
      </c>
      <c r="D102" s="2" t="s">
        <v>64</v>
      </c>
      <c r="E102">
        <v>4</v>
      </c>
      <c r="F102" s="3">
        <v>1075.5999999999999</v>
      </c>
      <c r="G102" s="3">
        <f t="shared" si="1"/>
        <v>4302.3999999999996</v>
      </c>
    </row>
    <row r="103" spans="1:7" x14ac:dyDescent="0.2">
      <c r="A103" s="1" t="s">
        <v>77</v>
      </c>
      <c r="B103" s="2" t="s">
        <v>8</v>
      </c>
      <c r="C103" s="2" t="s">
        <v>9</v>
      </c>
      <c r="D103" s="2" t="s">
        <v>17</v>
      </c>
      <c r="E103">
        <v>7</v>
      </c>
      <c r="F103" s="3">
        <v>6309.39</v>
      </c>
      <c r="G103" s="3">
        <f t="shared" si="1"/>
        <v>44165.73</v>
      </c>
    </row>
    <row r="104" spans="1:7" x14ac:dyDescent="0.2">
      <c r="A104" s="1" t="s">
        <v>77</v>
      </c>
      <c r="B104" s="2" t="s">
        <v>8</v>
      </c>
      <c r="C104" s="2" t="s">
        <v>9</v>
      </c>
      <c r="D104" s="2" t="s">
        <v>30</v>
      </c>
      <c r="E104">
        <v>5</v>
      </c>
      <c r="F104" s="3">
        <v>5622.93</v>
      </c>
      <c r="G104" s="3">
        <f t="shared" si="1"/>
        <v>28114.65</v>
      </c>
    </row>
    <row r="105" spans="1:7" x14ac:dyDescent="0.2">
      <c r="A105" s="1" t="s">
        <v>78</v>
      </c>
      <c r="B105" s="2" t="s">
        <v>19</v>
      </c>
      <c r="C105" s="2" t="s">
        <v>25</v>
      </c>
      <c r="D105" s="2" t="s">
        <v>45</v>
      </c>
      <c r="E105">
        <v>1</v>
      </c>
      <c r="F105" s="3">
        <v>814.81</v>
      </c>
      <c r="G105" s="3">
        <f t="shared" si="1"/>
        <v>814.81</v>
      </c>
    </row>
    <row r="106" spans="1:7" x14ac:dyDescent="0.2">
      <c r="A106" s="1" t="s">
        <v>78</v>
      </c>
      <c r="B106" s="2" t="s">
        <v>16</v>
      </c>
      <c r="C106" s="2" t="s">
        <v>11</v>
      </c>
      <c r="D106" s="2" t="s">
        <v>12</v>
      </c>
      <c r="E106">
        <v>1</v>
      </c>
      <c r="F106" s="3">
        <v>2205.3200000000002</v>
      </c>
      <c r="G106" s="3">
        <f t="shared" si="1"/>
        <v>2205.3200000000002</v>
      </c>
    </row>
    <row r="107" spans="1:7" x14ac:dyDescent="0.2">
      <c r="A107" s="1" t="s">
        <v>79</v>
      </c>
      <c r="B107" s="2" t="s">
        <v>13</v>
      </c>
      <c r="C107" s="2" t="s">
        <v>11</v>
      </c>
      <c r="D107" s="2" t="s">
        <v>31</v>
      </c>
      <c r="E107">
        <v>2</v>
      </c>
      <c r="F107" s="3">
        <v>576.70000000000005</v>
      </c>
      <c r="G107" s="3">
        <f t="shared" si="1"/>
        <v>1153.4000000000001</v>
      </c>
    </row>
    <row r="108" spans="1:7" x14ac:dyDescent="0.2">
      <c r="A108" s="1" t="s">
        <v>79</v>
      </c>
      <c r="B108" s="2" t="s">
        <v>16</v>
      </c>
      <c r="C108" s="2" t="s">
        <v>25</v>
      </c>
      <c r="D108" s="2" t="s">
        <v>26</v>
      </c>
      <c r="E108">
        <v>7</v>
      </c>
      <c r="F108" s="3">
        <v>1183.18</v>
      </c>
      <c r="G108" s="3">
        <f t="shared" si="1"/>
        <v>8282.26</v>
      </c>
    </row>
    <row r="109" spans="1:7" x14ac:dyDescent="0.2">
      <c r="A109" s="1" t="s">
        <v>80</v>
      </c>
      <c r="B109" s="2" t="s">
        <v>13</v>
      </c>
      <c r="C109" s="2" t="s">
        <v>11</v>
      </c>
      <c r="D109" s="2" t="s">
        <v>20</v>
      </c>
      <c r="E109">
        <v>4</v>
      </c>
      <c r="F109" s="3">
        <v>504.1</v>
      </c>
      <c r="G109" s="3">
        <f t="shared" si="1"/>
        <v>2016.4</v>
      </c>
    </row>
    <row r="110" spans="1:7" x14ac:dyDescent="0.2">
      <c r="A110" s="1" t="s">
        <v>81</v>
      </c>
      <c r="B110" s="2" t="s">
        <v>13</v>
      </c>
      <c r="C110" s="2" t="s">
        <v>25</v>
      </c>
      <c r="D110" s="2" t="s">
        <v>26</v>
      </c>
      <c r="E110">
        <v>8</v>
      </c>
      <c r="F110" s="3">
        <v>2022.99</v>
      </c>
      <c r="G110" s="3">
        <f t="shared" si="1"/>
        <v>16183.92</v>
      </c>
    </row>
    <row r="111" spans="1:7" x14ac:dyDescent="0.2">
      <c r="A111" s="1" t="s">
        <v>82</v>
      </c>
      <c r="B111" s="2" t="s">
        <v>16</v>
      </c>
      <c r="C111" s="2" t="s">
        <v>9</v>
      </c>
      <c r="D111" s="2" t="s">
        <v>17</v>
      </c>
      <c r="E111">
        <v>6</v>
      </c>
      <c r="F111" s="3">
        <v>3417.98</v>
      </c>
      <c r="G111" s="3">
        <f t="shared" si="1"/>
        <v>20507.88</v>
      </c>
    </row>
    <row r="112" spans="1:7" x14ac:dyDescent="0.2">
      <c r="A112" s="1" t="s">
        <v>83</v>
      </c>
      <c r="B112" s="2" t="s">
        <v>13</v>
      </c>
      <c r="C112" s="2" t="s">
        <v>9</v>
      </c>
      <c r="D112" s="2" t="s">
        <v>43</v>
      </c>
      <c r="E112">
        <v>5</v>
      </c>
      <c r="F112" s="3">
        <v>784.89</v>
      </c>
      <c r="G112" s="3">
        <f t="shared" si="1"/>
        <v>3924.45</v>
      </c>
    </row>
    <row r="113" spans="1:7" x14ac:dyDescent="0.2">
      <c r="A113" s="1" t="s">
        <v>84</v>
      </c>
      <c r="B113" s="2" t="s">
        <v>13</v>
      </c>
      <c r="C113" s="2" t="s">
        <v>21</v>
      </c>
      <c r="D113" s="2" t="s">
        <v>22</v>
      </c>
      <c r="E113">
        <v>1</v>
      </c>
      <c r="F113" s="3">
        <v>765.59</v>
      </c>
      <c r="G113" s="3">
        <f t="shared" si="1"/>
        <v>765.59</v>
      </c>
    </row>
    <row r="114" spans="1:7" x14ac:dyDescent="0.2">
      <c r="A114" s="1" t="s">
        <v>84</v>
      </c>
      <c r="B114" s="2" t="s">
        <v>13</v>
      </c>
      <c r="C114" s="2" t="s">
        <v>21</v>
      </c>
      <c r="D114" s="2" t="s">
        <v>58</v>
      </c>
      <c r="E114">
        <v>5</v>
      </c>
      <c r="F114" s="3">
        <v>1419.41</v>
      </c>
      <c r="G114" s="3">
        <f t="shared" si="1"/>
        <v>7097.05</v>
      </c>
    </row>
    <row r="115" spans="1:7" x14ac:dyDescent="0.2">
      <c r="A115" s="1" t="s">
        <v>84</v>
      </c>
      <c r="B115" s="2" t="s">
        <v>19</v>
      </c>
      <c r="C115" s="2" t="s">
        <v>25</v>
      </c>
      <c r="D115" s="2" t="s">
        <v>64</v>
      </c>
      <c r="E115">
        <v>3</v>
      </c>
      <c r="F115" s="3">
        <v>758.76</v>
      </c>
      <c r="G115" s="3">
        <f t="shared" si="1"/>
        <v>2276.2799999999997</v>
      </c>
    </row>
    <row r="116" spans="1:7" x14ac:dyDescent="0.2">
      <c r="A116" s="1" t="s">
        <v>85</v>
      </c>
      <c r="B116" s="2" t="s">
        <v>13</v>
      </c>
      <c r="C116" s="2" t="s">
        <v>11</v>
      </c>
      <c r="D116" s="2" t="s">
        <v>14</v>
      </c>
      <c r="E116">
        <v>8</v>
      </c>
      <c r="F116" s="3">
        <v>1159.4000000000001</v>
      </c>
      <c r="G116" s="3">
        <f t="shared" si="1"/>
        <v>9275.2000000000007</v>
      </c>
    </row>
    <row r="117" spans="1:7" x14ac:dyDescent="0.2">
      <c r="A117" s="1" t="s">
        <v>85</v>
      </c>
      <c r="B117" s="2" t="s">
        <v>8</v>
      </c>
      <c r="C117" s="2" t="s">
        <v>21</v>
      </c>
      <c r="D117" s="2" t="s">
        <v>58</v>
      </c>
      <c r="E117">
        <v>2</v>
      </c>
      <c r="F117" s="3">
        <v>1996.38</v>
      </c>
      <c r="G117" s="3">
        <f t="shared" si="1"/>
        <v>3992.76</v>
      </c>
    </row>
    <row r="118" spans="1:7" x14ac:dyDescent="0.2">
      <c r="A118" s="1" t="s">
        <v>86</v>
      </c>
      <c r="B118" s="2" t="s">
        <v>8</v>
      </c>
      <c r="C118" s="2" t="s">
        <v>11</v>
      </c>
      <c r="D118" s="2" t="s">
        <v>14</v>
      </c>
      <c r="E118">
        <v>5</v>
      </c>
      <c r="F118" s="3">
        <v>1545.85</v>
      </c>
      <c r="G118" s="3">
        <f t="shared" si="1"/>
        <v>7729.25</v>
      </c>
    </row>
    <row r="119" spans="1:7" x14ac:dyDescent="0.2">
      <c r="A119" s="1" t="s">
        <v>86</v>
      </c>
      <c r="B119" s="2" t="s">
        <v>8</v>
      </c>
      <c r="C119" s="2" t="s">
        <v>25</v>
      </c>
      <c r="D119" s="2" t="s">
        <v>50</v>
      </c>
      <c r="E119">
        <v>9</v>
      </c>
      <c r="F119" s="3">
        <v>1565.28</v>
      </c>
      <c r="G119" s="3">
        <f t="shared" si="1"/>
        <v>14087.52</v>
      </c>
    </row>
    <row r="120" spans="1:7" x14ac:dyDescent="0.2">
      <c r="A120" s="1" t="s">
        <v>86</v>
      </c>
      <c r="B120" s="2" t="s">
        <v>19</v>
      </c>
      <c r="C120" s="2" t="s">
        <v>11</v>
      </c>
      <c r="D120" s="2" t="s">
        <v>12</v>
      </c>
      <c r="E120">
        <v>4</v>
      </c>
      <c r="F120" s="3">
        <v>1944.21</v>
      </c>
      <c r="G120" s="3">
        <f t="shared" si="1"/>
        <v>7776.84</v>
      </c>
    </row>
    <row r="121" spans="1:7" x14ac:dyDescent="0.2">
      <c r="A121" s="1" t="s">
        <v>86</v>
      </c>
      <c r="B121" s="2" t="s">
        <v>8</v>
      </c>
      <c r="C121" s="2" t="s">
        <v>11</v>
      </c>
      <c r="D121" s="2" t="s">
        <v>12</v>
      </c>
      <c r="E121">
        <v>7</v>
      </c>
      <c r="F121" s="3">
        <v>2869.39</v>
      </c>
      <c r="G121" s="3">
        <f t="shared" si="1"/>
        <v>20085.73</v>
      </c>
    </row>
    <row r="122" spans="1:7" x14ac:dyDescent="0.2">
      <c r="A122" s="1" t="s">
        <v>87</v>
      </c>
      <c r="B122" s="2" t="s">
        <v>8</v>
      </c>
      <c r="C122" s="2" t="s">
        <v>11</v>
      </c>
      <c r="D122" s="2" t="s">
        <v>20</v>
      </c>
      <c r="E122">
        <v>9</v>
      </c>
      <c r="F122" s="3">
        <v>584.11</v>
      </c>
      <c r="G122" s="3">
        <f t="shared" si="1"/>
        <v>5256.99</v>
      </c>
    </row>
    <row r="123" spans="1:7" x14ac:dyDescent="0.2">
      <c r="A123" s="1" t="s">
        <v>87</v>
      </c>
      <c r="B123" s="2" t="s">
        <v>13</v>
      </c>
      <c r="C123" s="2" t="s">
        <v>25</v>
      </c>
      <c r="D123" s="2" t="s">
        <v>36</v>
      </c>
      <c r="E123">
        <v>5</v>
      </c>
      <c r="F123" s="3">
        <v>720.3</v>
      </c>
      <c r="G123" s="3">
        <f t="shared" si="1"/>
        <v>3601.5</v>
      </c>
    </row>
    <row r="124" spans="1:7" x14ac:dyDescent="0.2">
      <c r="A124" s="1" t="s">
        <v>87</v>
      </c>
      <c r="B124" s="2" t="s">
        <v>16</v>
      </c>
      <c r="C124" s="2" t="s">
        <v>25</v>
      </c>
      <c r="D124" s="2" t="s">
        <v>36</v>
      </c>
      <c r="E124">
        <v>2</v>
      </c>
      <c r="F124" s="3">
        <v>786.07</v>
      </c>
      <c r="G124" s="3">
        <f t="shared" si="1"/>
        <v>1572.14</v>
      </c>
    </row>
    <row r="125" spans="1:7" x14ac:dyDescent="0.2">
      <c r="A125" s="1" t="s">
        <v>87</v>
      </c>
      <c r="B125" s="2" t="s">
        <v>8</v>
      </c>
      <c r="C125" s="2" t="s">
        <v>11</v>
      </c>
      <c r="D125" s="2" t="s">
        <v>48</v>
      </c>
      <c r="E125">
        <v>6</v>
      </c>
      <c r="F125" s="3">
        <v>3517.43</v>
      </c>
      <c r="G125" s="3">
        <f t="shared" si="1"/>
        <v>21104.579999999998</v>
      </c>
    </row>
    <row r="126" spans="1:7" x14ac:dyDescent="0.2">
      <c r="A126" s="1" t="s">
        <v>88</v>
      </c>
      <c r="B126" s="2" t="s">
        <v>16</v>
      </c>
      <c r="C126" s="2" t="s">
        <v>25</v>
      </c>
      <c r="D126" s="2" t="s">
        <v>50</v>
      </c>
      <c r="E126">
        <v>2</v>
      </c>
      <c r="F126" s="3">
        <v>2440.63</v>
      </c>
      <c r="G126" s="3">
        <f t="shared" si="1"/>
        <v>4881.26</v>
      </c>
    </row>
    <row r="127" spans="1:7" x14ac:dyDescent="0.2">
      <c r="A127" s="1" t="s">
        <v>89</v>
      </c>
      <c r="B127" s="2" t="s">
        <v>19</v>
      </c>
      <c r="C127" s="2" t="s">
        <v>21</v>
      </c>
      <c r="D127" s="2" t="s">
        <v>28</v>
      </c>
      <c r="E127">
        <v>5</v>
      </c>
      <c r="F127" s="3">
        <v>4830.04</v>
      </c>
      <c r="G127" s="3">
        <f t="shared" si="1"/>
        <v>24150.2</v>
      </c>
    </row>
    <row r="128" spans="1:7" x14ac:dyDescent="0.2">
      <c r="A128" s="1" t="s">
        <v>89</v>
      </c>
      <c r="B128" s="2" t="s">
        <v>19</v>
      </c>
      <c r="C128" s="2" t="s">
        <v>9</v>
      </c>
      <c r="D128" s="2" t="s">
        <v>43</v>
      </c>
      <c r="E128">
        <v>4</v>
      </c>
      <c r="F128" s="3">
        <v>1103.02</v>
      </c>
      <c r="G128" s="3">
        <f t="shared" si="1"/>
        <v>4412.08</v>
      </c>
    </row>
    <row r="129" spans="1:7" x14ac:dyDescent="0.2">
      <c r="A129" s="1" t="s">
        <v>90</v>
      </c>
      <c r="B129" s="2" t="s">
        <v>8</v>
      </c>
      <c r="C129" s="2" t="s">
        <v>9</v>
      </c>
      <c r="D129" s="2" t="s">
        <v>10</v>
      </c>
      <c r="E129">
        <v>8</v>
      </c>
      <c r="F129" s="3">
        <v>479.08</v>
      </c>
      <c r="G129" s="3">
        <f t="shared" si="1"/>
        <v>3832.64</v>
      </c>
    </row>
    <row r="130" spans="1:7" x14ac:dyDescent="0.2">
      <c r="A130" s="1" t="s">
        <v>90</v>
      </c>
      <c r="B130" s="2" t="s">
        <v>13</v>
      </c>
      <c r="C130" s="2" t="s">
        <v>21</v>
      </c>
      <c r="D130" s="2" t="s">
        <v>28</v>
      </c>
      <c r="E130">
        <v>7</v>
      </c>
      <c r="F130" s="3">
        <v>6154.17</v>
      </c>
      <c r="G130" s="3">
        <f t="shared" ref="G130:G193" si="2">E130*F130</f>
        <v>43079.19</v>
      </c>
    </row>
    <row r="131" spans="1:7" x14ac:dyDescent="0.2">
      <c r="A131" s="1" t="s">
        <v>90</v>
      </c>
      <c r="B131" s="2" t="s">
        <v>19</v>
      </c>
      <c r="C131" s="2" t="s">
        <v>21</v>
      </c>
      <c r="D131" s="2" t="s">
        <v>58</v>
      </c>
      <c r="E131">
        <v>3</v>
      </c>
      <c r="F131" s="3">
        <v>2687.88</v>
      </c>
      <c r="G131" s="3">
        <f t="shared" si="2"/>
        <v>8063.64</v>
      </c>
    </row>
    <row r="132" spans="1:7" x14ac:dyDescent="0.2">
      <c r="A132" s="1" t="s">
        <v>91</v>
      </c>
      <c r="B132" s="2" t="s">
        <v>13</v>
      </c>
      <c r="C132" s="2" t="s">
        <v>9</v>
      </c>
      <c r="D132" s="2" t="s">
        <v>30</v>
      </c>
      <c r="E132">
        <v>5</v>
      </c>
      <c r="F132" s="3">
        <v>4910.12</v>
      </c>
      <c r="G132" s="3">
        <f t="shared" si="2"/>
        <v>24550.6</v>
      </c>
    </row>
    <row r="133" spans="1:7" x14ac:dyDescent="0.2">
      <c r="A133" s="1" t="s">
        <v>92</v>
      </c>
      <c r="B133" s="2" t="s">
        <v>19</v>
      </c>
      <c r="C133" s="2" t="s">
        <v>9</v>
      </c>
      <c r="D133" s="2" t="s">
        <v>10</v>
      </c>
      <c r="E133">
        <v>4</v>
      </c>
      <c r="F133" s="3">
        <v>898.18</v>
      </c>
      <c r="G133" s="3">
        <f t="shared" si="2"/>
        <v>3592.72</v>
      </c>
    </row>
    <row r="134" spans="1:7" x14ac:dyDescent="0.2">
      <c r="A134" s="1" t="s">
        <v>92</v>
      </c>
      <c r="B134" s="2" t="s">
        <v>8</v>
      </c>
      <c r="C134" s="2" t="s">
        <v>25</v>
      </c>
      <c r="D134" s="2" t="s">
        <v>26</v>
      </c>
      <c r="E134">
        <v>6</v>
      </c>
      <c r="F134" s="3">
        <v>1797.38</v>
      </c>
      <c r="G134" s="3">
        <f t="shared" si="2"/>
        <v>10784.28</v>
      </c>
    </row>
    <row r="135" spans="1:7" x14ac:dyDescent="0.2">
      <c r="A135" s="1" t="s">
        <v>92</v>
      </c>
      <c r="B135" s="2" t="s">
        <v>19</v>
      </c>
      <c r="C135" s="2" t="s">
        <v>25</v>
      </c>
      <c r="D135" s="2" t="s">
        <v>50</v>
      </c>
      <c r="E135">
        <v>3</v>
      </c>
      <c r="F135" s="3">
        <v>2015.62</v>
      </c>
      <c r="G135" s="3">
        <f t="shared" si="2"/>
        <v>6046.86</v>
      </c>
    </row>
    <row r="136" spans="1:7" x14ac:dyDescent="0.2">
      <c r="A136" s="1" t="s">
        <v>92</v>
      </c>
      <c r="B136" s="2" t="s">
        <v>16</v>
      </c>
      <c r="C136" s="2" t="s">
        <v>11</v>
      </c>
      <c r="D136" s="2" t="s">
        <v>20</v>
      </c>
      <c r="E136">
        <v>6</v>
      </c>
      <c r="F136" s="3">
        <v>1016.63</v>
      </c>
      <c r="G136" s="3">
        <f t="shared" si="2"/>
        <v>6099.78</v>
      </c>
    </row>
    <row r="137" spans="1:7" x14ac:dyDescent="0.2">
      <c r="A137" s="1" t="s">
        <v>92</v>
      </c>
      <c r="B137" s="2" t="s">
        <v>16</v>
      </c>
      <c r="C137" s="2" t="s">
        <v>21</v>
      </c>
      <c r="D137" s="2" t="s">
        <v>58</v>
      </c>
      <c r="E137">
        <v>5</v>
      </c>
      <c r="F137" s="3">
        <v>2038.17</v>
      </c>
      <c r="G137" s="3">
        <f t="shared" si="2"/>
        <v>10190.85</v>
      </c>
    </row>
    <row r="138" spans="1:7" x14ac:dyDescent="0.2">
      <c r="A138" s="1" t="s">
        <v>92</v>
      </c>
      <c r="B138" s="2" t="s">
        <v>16</v>
      </c>
      <c r="C138" s="2" t="s">
        <v>25</v>
      </c>
      <c r="D138" s="2" t="s">
        <v>36</v>
      </c>
      <c r="E138">
        <v>2</v>
      </c>
      <c r="F138" s="3">
        <v>636.11</v>
      </c>
      <c r="G138" s="3">
        <f t="shared" si="2"/>
        <v>1272.22</v>
      </c>
    </row>
    <row r="139" spans="1:7" x14ac:dyDescent="0.2">
      <c r="A139" s="1" t="s">
        <v>92</v>
      </c>
      <c r="B139" s="2" t="s">
        <v>19</v>
      </c>
      <c r="C139" s="2" t="s">
        <v>21</v>
      </c>
      <c r="D139" s="2" t="s">
        <v>27</v>
      </c>
      <c r="E139">
        <v>5</v>
      </c>
      <c r="F139" s="3">
        <v>1267.96</v>
      </c>
      <c r="G139" s="3">
        <f t="shared" si="2"/>
        <v>6339.8</v>
      </c>
    </row>
    <row r="140" spans="1:7" x14ac:dyDescent="0.2">
      <c r="A140" s="1" t="s">
        <v>93</v>
      </c>
      <c r="B140" s="2" t="s">
        <v>8</v>
      </c>
      <c r="C140" s="2" t="s">
        <v>21</v>
      </c>
      <c r="D140" s="2" t="s">
        <v>28</v>
      </c>
      <c r="E140">
        <v>1</v>
      </c>
      <c r="F140" s="3">
        <v>6316.32</v>
      </c>
      <c r="G140" s="3">
        <f t="shared" si="2"/>
        <v>6316.32</v>
      </c>
    </row>
    <row r="141" spans="1:7" x14ac:dyDescent="0.2">
      <c r="A141" s="1" t="s">
        <v>94</v>
      </c>
      <c r="B141" s="2" t="s">
        <v>16</v>
      </c>
      <c r="C141" s="2" t="s">
        <v>25</v>
      </c>
      <c r="D141" s="2" t="s">
        <v>26</v>
      </c>
      <c r="E141">
        <v>6</v>
      </c>
      <c r="F141" s="3">
        <v>1928.4</v>
      </c>
      <c r="G141" s="3">
        <f t="shared" si="2"/>
        <v>11570.400000000001</v>
      </c>
    </row>
    <row r="142" spans="1:7" x14ac:dyDescent="0.2">
      <c r="A142" s="1" t="s">
        <v>95</v>
      </c>
      <c r="B142" s="2" t="s">
        <v>16</v>
      </c>
      <c r="C142" s="2" t="s">
        <v>11</v>
      </c>
      <c r="D142" s="2" t="s">
        <v>48</v>
      </c>
      <c r="E142">
        <v>1</v>
      </c>
      <c r="F142" s="3">
        <v>1870.31</v>
      </c>
      <c r="G142" s="3">
        <f t="shared" si="2"/>
        <v>1870.31</v>
      </c>
    </row>
    <row r="143" spans="1:7" x14ac:dyDescent="0.2">
      <c r="A143" s="1" t="s">
        <v>96</v>
      </c>
      <c r="B143" s="2" t="s">
        <v>8</v>
      </c>
      <c r="C143" s="2" t="s">
        <v>11</v>
      </c>
      <c r="D143" s="2" t="s">
        <v>14</v>
      </c>
      <c r="E143">
        <v>7</v>
      </c>
      <c r="F143" s="3">
        <v>1733.44</v>
      </c>
      <c r="G143" s="3">
        <f t="shared" si="2"/>
        <v>12134.08</v>
      </c>
    </row>
    <row r="144" spans="1:7" x14ac:dyDescent="0.2">
      <c r="A144" s="1" t="s">
        <v>96</v>
      </c>
      <c r="B144" s="2" t="s">
        <v>16</v>
      </c>
      <c r="C144" s="2" t="s">
        <v>11</v>
      </c>
      <c r="D144" s="2" t="s">
        <v>48</v>
      </c>
      <c r="E144">
        <v>1</v>
      </c>
      <c r="F144" s="3">
        <v>2461.13</v>
      </c>
      <c r="G144" s="3">
        <f t="shared" si="2"/>
        <v>2461.13</v>
      </c>
    </row>
    <row r="145" spans="1:7" x14ac:dyDescent="0.2">
      <c r="A145" s="1" t="s">
        <v>96</v>
      </c>
      <c r="B145" s="2" t="s">
        <v>8</v>
      </c>
      <c r="C145" s="2" t="s">
        <v>11</v>
      </c>
      <c r="D145" s="2" t="s">
        <v>31</v>
      </c>
      <c r="E145">
        <v>9</v>
      </c>
      <c r="F145" s="3">
        <v>417.07</v>
      </c>
      <c r="G145" s="3">
        <f t="shared" si="2"/>
        <v>3753.63</v>
      </c>
    </row>
    <row r="146" spans="1:7" x14ac:dyDescent="0.2">
      <c r="A146" s="1" t="s">
        <v>96</v>
      </c>
      <c r="B146" s="2" t="s">
        <v>19</v>
      </c>
      <c r="C146" s="2" t="s">
        <v>11</v>
      </c>
      <c r="D146" s="2" t="s">
        <v>12</v>
      </c>
      <c r="E146">
        <v>7</v>
      </c>
      <c r="F146" s="3">
        <v>2172.04</v>
      </c>
      <c r="G146" s="3">
        <f t="shared" si="2"/>
        <v>15204.279999999999</v>
      </c>
    </row>
    <row r="147" spans="1:7" x14ac:dyDescent="0.2">
      <c r="A147" s="1" t="s">
        <v>97</v>
      </c>
      <c r="B147" s="2" t="s">
        <v>16</v>
      </c>
      <c r="C147" s="2" t="s">
        <v>9</v>
      </c>
      <c r="D147" s="2" t="s">
        <v>30</v>
      </c>
      <c r="E147">
        <v>10</v>
      </c>
      <c r="F147" s="3">
        <v>5046.42</v>
      </c>
      <c r="G147" s="3">
        <f t="shared" si="2"/>
        <v>50464.2</v>
      </c>
    </row>
    <row r="148" spans="1:7" x14ac:dyDescent="0.2">
      <c r="A148" s="1" t="s">
        <v>97</v>
      </c>
      <c r="B148" s="2" t="s">
        <v>19</v>
      </c>
      <c r="C148" s="2" t="s">
        <v>11</v>
      </c>
      <c r="D148" s="2" t="s">
        <v>20</v>
      </c>
      <c r="E148">
        <v>3</v>
      </c>
      <c r="F148" s="3">
        <v>956.88</v>
      </c>
      <c r="G148" s="3">
        <f t="shared" si="2"/>
        <v>2870.64</v>
      </c>
    </row>
    <row r="149" spans="1:7" x14ac:dyDescent="0.2">
      <c r="A149" s="1" t="s">
        <v>97</v>
      </c>
      <c r="B149" s="2" t="s">
        <v>19</v>
      </c>
      <c r="C149" s="2" t="s">
        <v>11</v>
      </c>
      <c r="D149" s="2" t="s">
        <v>31</v>
      </c>
      <c r="E149">
        <v>3</v>
      </c>
      <c r="F149" s="3">
        <v>393.11</v>
      </c>
      <c r="G149" s="3">
        <f t="shared" si="2"/>
        <v>1179.33</v>
      </c>
    </row>
    <row r="150" spans="1:7" x14ac:dyDescent="0.2">
      <c r="A150" s="1" t="s">
        <v>97</v>
      </c>
      <c r="B150" s="2" t="s">
        <v>19</v>
      </c>
      <c r="C150" s="2" t="s">
        <v>11</v>
      </c>
      <c r="D150" s="2" t="s">
        <v>20</v>
      </c>
      <c r="E150">
        <v>3</v>
      </c>
      <c r="F150" s="3">
        <v>1017.55</v>
      </c>
      <c r="G150" s="3">
        <f t="shared" si="2"/>
        <v>3052.6499999999996</v>
      </c>
    </row>
    <row r="151" spans="1:7" x14ac:dyDescent="0.2">
      <c r="A151" s="1" t="s">
        <v>98</v>
      </c>
      <c r="B151" s="2" t="s">
        <v>13</v>
      </c>
      <c r="C151" s="2" t="s">
        <v>11</v>
      </c>
      <c r="D151" s="2" t="s">
        <v>31</v>
      </c>
      <c r="E151">
        <v>1</v>
      </c>
      <c r="F151" s="3">
        <v>563.61</v>
      </c>
      <c r="G151" s="3">
        <f t="shared" si="2"/>
        <v>563.61</v>
      </c>
    </row>
    <row r="152" spans="1:7" x14ac:dyDescent="0.2">
      <c r="A152" s="1" t="s">
        <v>99</v>
      </c>
      <c r="B152" s="2" t="s">
        <v>16</v>
      </c>
      <c r="C152" s="2" t="s">
        <v>25</v>
      </c>
      <c r="D152" s="2" t="s">
        <v>26</v>
      </c>
      <c r="E152">
        <v>7</v>
      </c>
      <c r="F152" s="3">
        <v>1483.1</v>
      </c>
      <c r="G152" s="3">
        <f t="shared" si="2"/>
        <v>10381.699999999999</v>
      </c>
    </row>
    <row r="153" spans="1:7" x14ac:dyDescent="0.2">
      <c r="A153" s="1" t="s">
        <v>99</v>
      </c>
      <c r="B153" s="2" t="s">
        <v>19</v>
      </c>
      <c r="C153" s="2" t="s">
        <v>11</v>
      </c>
      <c r="D153" s="2" t="s">
        <v>48</v>
      </c>
      <c r="E153">
        <v>6</v>
      </c>
      <c r="F153" s="3">
        <v>2846.92</v>
      </c>
      <c r="G153" s="3">
        <f t="shared" si="2"/>
        <v>17081.52</v>
      </c>
    </row>
    <row r="154" spans="1:7" x14ac:dyDescent="0.2">
      <c r="A154" s="1" t="s">
        <v>100</v>
      </c>
      <c r="B154" s="2" t="s">
        <v>16</v>
      </c>
      <c r="C154" s="2" t="s">
        <v>25</v>
      </c>
      <c r="D154" s="2" t="s">
        <v>36</v>
      </c>
      <c r="E154">
        <v>2</v>
      </c>
      <c r="F154" s="3">
        <v>476.42</v>
      </c>
      <c r="G154" s="3">
        <f t="shared" si="2"/>
        <v>952.84</v>
      </c>
    </row>
    <row r="155" spans="1:7" x14ac:dyDescent="0.2">
      <c r="A155" s="1" t="s">
        <v>100</v>
      </c>
      <c r="B155" s="2" t="s">
        <v>13</v>
      </c>
      <c r="C155" s="2" t="s">
        <v>11</v>
      </c>
      <c r="D155" s="2" t="s">
        <v>31</v>
      </c>
      <c r="E155">
        <v>2</v>
      </c>
      <c r="F155" s="3">
        <v>527.69000000000005</v>
      </c>
      <c r="G155" s="3">
        <f t="shared" si="2"/>
        <v>1055.3800000000001</v>
      </c>
    </row>
    <row r="156" spans="1:7" x14ac:dyDescent="0.2">
      <c r="A156" s="1" t="s">
        <v>100</v>
      </c>
      <c r="B156" s="2" t="s">
        <v>16</v>
      </c>
      <c r="C156" s="2" t="s">
        <v>21</v>
      </c>
      <c r="D156" s="2" t="s">
        <v>58</v>
      </c>
      <c r="E156">
        <v>8</v>
      </c>
      <c r="F156" s="3">
        <v>2313.7199999999998</v>
      </c>
      <c r="G156" s="3">
        <f t="shared" si="2"/>
        <v>18509.759999999998</v>
      </c>
    </row>
    <row r="157" spans="1:7" x14ac:dyDescent="0.2">
      <c r="A157" s="1" t="s">
        <v>100</v>
      </c>
      <c r="B157" s="2" t="s">
        <v>16</v>
      </c>
      <c r="C157" s="2" t="s">
        <v>21</v>
      </c>
      <c r="D157" s="2" t="s">
        <v>22</v>
      </c>
      <c r="E157">
        <v>3</v>
      </c>
      <c r="F157" s="3">
        <v>984.84</v>
      </c>
      <c r="G157" s="3">
        <f t="shared" si="2"/>
        <v>2954.52</v>
      </c>
    </row>
    <row r="158" spans="1:7" x14ac:dyDescent="0.2">
      <c r="A158" s="1" t="s">
        <v>100</v>
      </c>
      <c r="B158" s="2" t="s">
        <v>19</v>
      </c>
      <c r="C158" s="2" t="s">
        <v>25</v>
      </c>
      <c r="D158" s="2" t="s">
        <v>50</v>
      </c>
      <c r="E158">
        <v>3</v>
      </c>
      <c r="F158" s="3">
        <v>2319.98</v>
      </c>
      <c r="G158" s="3">
        <f t="shared" si="2"/>
        <v>6959.9400000000005</v>
      </c>
    </row>
    <row r="159" spans="1:7" x14ac:dyDescent="0.2">
      <c r="A159" s="1" t="s">
        <v>100</v>
      </c>
      <c r="B159" s="2" t="s">
        <v>8</v>
      </c>
      <c r="C159" s="2" t="s">
        <v>11</v>
      </c>
      <c r="D159" s="2" t="s">
        <v>20</v>
      </c>
      <c r="E159">
        <v>8</v>
      </c>
      <c r="F159" s="3">
        <v>958.72</v>
      </c>
      <c r="G159" s="3">
        <f t="shared" si="2"/>
        <v>7669.76</v>
      </c>
    </row>
    <row r="160" spans="1:7" x14ac:dyDescent="0.2">
      <c r="A160" s="1" t="s">
        <v>101</v>
      </c>
      <c r="B160" s="2" t="s">
        <v>19</v>
      </c>
      <c r="C160" s="2" t="s">
        <v>25</v>
      </c>
      <c r="D160" s="2" t="s">
        <v>45</v>
      </c>
      <c r="E160">
        <v>2</v>
      </c>
      <c r="F160" s="3">
        <v>513.29999999999995</v>
      </c>
      <c r="G160" s="3">
        <f t="shared" si="2"/>
        <v>1026.5999999999999</v>
      </c>
    </row>
    <row r="161" spans="1:7" x14ac:dyDescent="0.2">
      <c r="A161" s="1" t="s">
        <v>101</v>
      </c>
      <c r="B161" s="2" t="s">
        <v>8</v>
      </c>
      <c r="C161" s="2" t="s">
        <v>11</v>
      </c>
      <c r="D161" s="2" t="s">
        <v>12</v>
      </c>
      <c r="E161">
        <v>7</v>
      </c>
      <c r="F161" s="3">
        <v>2294.59</v>
      </c>
      <c r="G161" s="3">
        <f t="shared" si="2"/>
        <v>16062.130000000001</v>
      </c>
    </row>
    <row r="162" spans="1:7" x14ac:dyDescent="0.2">
      <c r="A162" s="1" t="s">
        <v>101</v>
      </c>
      <c r="B162" s="2" t="s">
        <v>19</v>
      </c>
      <c r="C162" s="2" t="s">
        <v>11</v>
      </c>
      <c r="D162" s="2" t="s">
        <v>14</v>
      </c>
      <c r="E162">
        <v>2</v>
      </c>
      <c r="F162" s="3">
        <v>1554.68</v>
      </c>
      <c r="G162" s="3">
        <f t="shared" si="2"/>
        <v>3109.36</v>
      </c>
    </row>
    <row r="163" spans="1:7" x14ac:dyDescent="0.2">
      <c r="A163" s="1" t="s">
        <v>101</v>
      </c>
      <c r="B163" s="2" t="s">
        <v>8</v>
      </c>
      <c r="C163" s="2" t="s">
        <v>25</v>
      </c>
      <c r="D163" s="2" t="s">
        <v>50</v>
      </c>
      <c r="E163">
        <v>6</v>
      </c>
      <c r="F163" s="3">
        <v>1774.97</v>
      </c>
      <c r="G163" s="3">
        <f t="shared" si="2"/>
        <v>10649.82</v>
      </c>
    </row>
    <row r="164" spans="1:7" x14ac:dyDescent="0.2">
      <c r="A164" s="1" t="s">
        <v>102</v>
      </c>
      <c r="B164" s="2" t="s">
        <v>19</v>
      </c>
      <c r="C164" s="2" t="s">
        <v>25</v>
      </c>
      <c r="D164" s="2" t="s">
        <v>45</v>
      </c>
      <c r="E164">
        <v>6</v>
      </c>
      <c r="F164" s="3">
        <v>796.13</v>
      </c>
      <c r="G164" s="3">
        <f t="shared" si="2"/>
        <v>4776.78</v>
      </c>
    </row>
    <row r="165" spans="1:7" x14ac:dyDescent="0.2">
      <c r="A165" s="1" t="s">
        <v>102</v>
      </c>
      <c r="B165" s="2" t="s">
        <v>16</v>
      </c>
      <c r="C165" s="2" t="s">
        <v>21</v>
      </c>
      <c r="D165" s="2" t="s">
        <v>22</v>
      </c>
      <c r="E165">
        <v>2</v>
      </c>
      <c r="F165" s="3">
        <v>961.51</v>
      </c>
      <c r="G165" s="3">
        <f t="shared" si="2"/>
        <v>1923.02</v>
      </c>
    </row>
    <row r="166" spans="1:7" x14ac:dyDescent="0.2">
      <c r="A166" s="1" t="s">
        <v>103</v>
      </c>
      <c r="B166" s="2" t="s">
        <v>19</v>
      </c>
      <c r="C166" s="2" t="s">
        <v>11</v>
      </c>
      <c r="D166" s="2" t="s">
        <v>12</v>
      </c>
      <c r="E166">
        <v>7</v>
      </c>
      <c r="F166" s="3">
        <v>1934.06</v>
      </c>
      <c r="G166" s="3">
        <f t="shared" si="2"/>
        <v>13538.42</v>
      </c>
    </row>
    <row r="167" spans="1:7" x14ac:dyDescent="0.2">
      <c r="A167" s="1" t="s">
        <v>103</v>
      </c>
      <c r="B167" s="2" t="s">
        <v>13</v>
      </c>
      <c r="C167" s="2" t="s">
        <v>11</v>
      </c>
      <c r="D167" s="2" t="s">
        <v>12</v>
      </c>
      <c r="E167">
        <v>1</v>
      </c>
      <c r="F167" s="3">
        <v>2446.42</v>
      </c>
      <c r="G167" s="3">
        <f t="shared" si="2"/>
        <v>2446.42</v>
      </c>
    </row>
    <row r="168" spans="1:7" x14ac:dyDescent="0.2">
      <c r="A168" s="1" t="s">
        <v>103</v>
      </c>
      <c r="B168" s="2" t="s">
        <v>16</v>
      </c>
      <c r="C168" s="2" t="s">
        <v>9</v>
      </c>
      <c r="D168" s="2" t="s">
        <v>10</v>
      </c>
      <c r="E168">
        <v>1</v>
      </c>
      <c r="F168" s="3">
        <v>676.76</v>
      </c>
      <c r="G168" s="3">
        <f t="shared" si="2"/>
        <v>676.76</v>
      </c>
    </row>
    <row r="169" spans="1:7" x14ac:dyDescent="0.2">
      <c r="A169" s="1" t="s">
        <v>104</v>
      </c>
      <c r="B169" s="2" t="s">
        <v>8</v>
      </c>
      <c r="C169" s="2" t="s">
        <v>11</v>
      </c>
      <c r="D169" s="2" t="s">
        <v>48</v>
      </c>
      <c r="E169">
        <v>3</v>
      </c>
      <c r="F169" s="3">
        <v>2019.85</v>
      </c>
      <c r="G169" s="3">
        <f t="shared" si="2"/>
        <v>6059.5499999999993</v>
      </c>
    </row>
    <row r="170" spans="1:7" x14ac:dyDescent="0.2">
      <c r="A170" s="1" t="s">
        <v>104</v>
      </c>
      <c r="B170" s="2" t="s">
        <v>8</v>
      </c>
      <c r="C170" s="2" t="s">
        <v>9</v>
      </c>
      <c r="D170" s="2" t="s">
        <v>43</v>
      </c>
      <c r="E170">
        <v>4</v>
      </c>
      <c r="F170" s="3">
        <v>1132.1500000000001</v>
      </c>
      <c r="G170" s="3">
        <f t="shared" si="2"/>
        <v>4528.6000000000004</v>
      </c>
    </row>
    <row r="171" spans="1:7" x14ac:dyDescent="0.2">
      <c r="A171" s="1" t="s">
        <v>104</v>
      </c>
      <c r="B171" s="2" t="s">
        <v>8</v>
      </c>
      <c r="C171" s="2" t="s">
        <v>21</v>
      </c>
      <c r="D171" s="2" t="s">
        <v>37</v>
      </c>
      <c r="E171">
        <v>3</v>
      </c>
      <c r="F171" s="3">
        <v>3176.95</v>
      </c>
      <c r="G171" s="3">
        <f t="shared" si="2"/>
        <v>9530.8499999999985</v>
      </c>
    </row>
    <row r="172" spans="1:7" x14ac:dyDescent="0.2">
      <c r="A172" s="1" t="s">
        <v>104</v>
      </c>
      <c r="B172" s="2" t="s">
        <v>13</v>
      </c>
      <c r="C172" s="2" t="s">
        <v>25</v>
      </c>
      <c r="D172" s="2" t="s">
        <v>64</v>
      </c>
      <c r="E172">
        <v>2</v>
      </c>
      <c r="F172" s="3">
        <v>936.78</v>
      </c>
      <c r="G172" s="3">
        <f t="shared" si="2"/>
        <v>1873.56</v>
      </c>
    </row>
    <row r="173" spans="1:7" x14ac:dyDescent="0.2">
      <c r="A173" s="1" t="s">
        <v>104</v>
      </c>
      <c r="B173" s="2" t="s">
        <v>13</v>
      </c>
      <c r="C173" s="2" t="s">
        <v>11</v>
      </c>
      <c r="D173" s="2" t="s">
        <v>14</v>
      </c>
      <c r="E173">
        <v>7</v>
      </c>
      <c r="F173" s="3">
        <v>1664.01</v>
      </c>
      <c r="G173" s="3">
        <f t="shared" si="2"/>
        <v>11648.07</v>
      </c>
    </row>
    <row r="174" spans="1:7" x14ac:dyDescent="0.2">
      <c r="A174" s="1" t="s">
        <v>104</v>
      </c>
      <c r="B174" s="2" t="s">
        <v>16</v>
      </c>
      <c r="C174" s="2" t="s">
        <v>21</v>
      </c>
      <c r="D174" s="2" t="s">
        <v>58</v>
      </c>
      <c r="E174">
        <v>7</v>
      </c>
      <c r="F174" s="3">
        <v>2737.91</v>
      </c>
      <c r="G174" s="3">
        <f t="shared" si="2"/>
        <v>19165.37</v>
      </c>
    </row>
    <row r="175" spans="1:7" x14ac:dyDescent="0.2">
      <c r="A175" s="1" t="s">
        <v>104</v>
      </c>
      <c r="B175" s="2" t="s">
        <v>13</v>
      </c>
      <c r="C175" s="2" t="s">
        <v>11</v>
      </c>
      <c r="D175" s="2" t="s">
        <v>31</v>
      </c>
      <c r="E175">
        <v>5</v>
      </c>
      <c r="F175" s="3">
        <v>605.55999999999995</v>
      </c>
      <c r="G175" s="3">
        <f t="shared" si="2"/>
        <v>3027.7999999999997</v>
      </c>
    </row>
    <row r="176" spans="1:7" x14ac:dyDescent="0.2">
      <c r="A176" s="1" t="s">
        <v>105</v>
      </c>
      <c r="B176" s="2" t="s">
        <v>8</v>
      </c>
      <c r="C176" s="2" t="s">
        <v>25</v>
      </c>
      <c r="D176" s="2" t="s">
        <v>50</v>
      </c>
      <c r="E176">
        <v>7</v>
      </c>
      <c r="F176" s="3">
        <v>2668.68</v>
      </c>
      <c r="G176" s="3">
        <f t="shared" si="2"/>
        <v>18680.759999999998</v>
      </c>
    </row>
    <row r="177" spans="1:7" x14ac:dyDescent="0.2">
      <c r="A177" s="1" t="s">
        <v>105</v>
      </c>
      <c r="B177" s="2" t="s">
        <v>8</v>
      </c>
      <c r="C177" s="2" t="s">
        <v>21</v>
      </c>
      <c r="D177" s="2" t="s">
        <v>28</v>
      </c>
      <c r="E177">
        <v>3</v>
      </c>
      <c r="F177" s="3">
        <v>4566.5600000000004</v>
      </c>
      <c r="G177" s="3">
        <f t="shared" si="2"/>
        <v>13699.68</v>
      </c>
    </row>
    <row r="178" spans="1:7" x14ac:dyDescent="0.2">
      <c r="A178" s="1" t="s">
        <v>106</v>
      </c>
      <c r="B178" s="2" t="s">
        <v>16</v>
      </c>
      <c r="C178" s="2" t="s">
        <v>11</v>
      </c>
      <c r="D178" s="2" t="s">
        <v>14</v>
      </c>
      <c r="E178">
        <v>6</v>
      </c>
      <c r="F178" s="3">
        <v>1046.25</v>
      </c>
      <c r="G178" s="3">
        <f t="shared" si="2"/>
        <v>6277.5</v>
      </c>
    </row>
    <row r="179" spans="1:7" x14ac:dyDescent="0.2">
      <c r="A179" s="1" t="s">
        <v>106</v>
      </c>
      <c r="B179" s="2" t="s">
        <v>16</v>
      </c>
      <c r="C179" s="2" t="s">
        <v>11</v>
      </c>
      <c r="D179" s="2" t="s">
        <v>14</v>
      </c>
      <c r="E179">
        <v>8</v>
      </c>
      <c r="F179" s="3">
        <v>1004.62</v>
      </c>
      <c r="G179" s="3">
        <f t="shared" si="2"/>
        <v>8036.96</v>
      </c>
    </row>
    <row r="180" spans="1:7" x14ac:dyDescent="0.2">
      <c r="A180" s="1" t="s">
        <v>106</v>
      </c>
      <c r="B180" s="2" t="s">
        <v>19</v>
      </c>
      <c r="C180" s="2" t="s">
        <v>21</v>
      </c>
      <c r="D180" s="2" t="s">
        <v>22</v>
      </c>
      <c r="E180">
        <v>3</v>
      </c>
      <c r="F180" s="3">
        <v>1153.0899999999999</v>
      </c>
      <c r="G180" s="3">
        <f t="shared" si="2"/>
        <v>3459.2699999999995</v>
      </c>
    </row>
    <row r="181" spans="1:7" x14ac:dyDescent="0.2">
      <c r="A181" s="1" t="s">
        <v>106</v>
      </c>
      <c r="B181" s="2" t="s">
        <v>19</v>
      </c>
      <c r="C181" s="2" t="s">
        <v>11</v>
      </c>
      <c r="D181" s="2" t="s">
        <v>48</v>
      </c>
      <c r="E181">
        <v>2</v>
      </c>
      <c r="F181" s="3">
        <v>3649.86</v>
      </c>
      <c r="G181" s="3">
        <f t="shared" si="2"/>
        <v>7299.72</v>
      </c>
    </row>
    <row r="182" spans="1:7" x14ac:dyDescent="0.2">
      <c r="A182" s="1" t="s">
        <v>106</v>
      </c>
      <c r="B182" s="2" t="s">
        <v>8</v>
      </c>
      <c r="C182" s="2" t="s">
        <v>9</v>
      </c>
      <c r="D182" s="2" t="s">
        <v>30</v>
      </c>
      <c r="E182">
        <v>7</v>
      </c>
      <c r="F182" s="3">
        <v>5102.47</v>
      </c>
      <c r="G182" s="3">
        <f t="shared" si="2"/>
        <v>35717.29</v>
      </c>
    </row>
    <row r="183" spans="1:7" x14ac:dyDescent="0.2">
      <c r="A183" s="1" t="s">
        <v>107</v>
      </c>
      <c r="B183" s="2" t="s">
        <v>13</v>
      </c>
      <c r="C183" s="2" t="s">
        <v>21</v>
      </c>
      <c r="D183" s="2" t="s">
        <v>28</v>
      </c>
      <c r="E183">
        <v>6</v>
      </c>
      <c r="F183" s="3">
        <v>2741.8</v>
      </c>
      <c r="G183" s="3">
        <f t="shared" si="2"/>
        <v>16450.800000000003</v>
      </c>
    </row>
    <row r="184" spans="1:7" x14ac:dyDescent="0.2">
      <c r="A184" s="1" t="s">
        <v>107</v>
      </c>
      <c r="B184" s="2" t="s">
        <v>13</v>
      </c>
      <c r="C184" s="2" t="s">
        <v>11</v>
      </c>
      <c r="D184" s="2" t="s">
        <v>20</v>
      </c>
      <c r="E184">
        <v>8</v>
      </c>
      <c r="F184" s="3">
        <v>585.92999999999995</v>
      </c>
      <c r="G184" s="3">
        <f t="shared" si="2"/>
        <v>4687.4399999999996</v>
      </c>
    </row>
    <row r="185" spans="1:7" x14ac:dyDescent="0.2">
      <c r="A185" s="1" t="s">
        <v>108</v>
      </c>
      <c r="B185" s="2" t="s">
        <v>13</v>
      </c>
      <c r="C185" s="2" t="s">
        <v>25</v>
      </c>
      <c r="D185" s="2" t="s">
        <v>26</v>
      </c>
      <c r="E185">
        <v>5</v>
      </c>
      <c r="F185" s="3">
        <v>1440.14</v>
      </c>
      <c r="G185" s="3">
        <f t="shared" si="2"/>
        <v>7200.7000000000007</v>
      </c>
    </row>
    <row r="186" spans="1:7" x14ac:dyDescent="0.2">
      <c r="A186" s="1" t="s">
        <v>108</v>
      </c>
      <c r="B186" s="2" t="s">
        <v>16</v>
      </c>
      <c r="C186" s="2" t="s">
        <v>11</v>
      </c>
      <c r="D186" s="2" t="s">
        <v>20</v>
      </c>
      <c r="E186">
        <v>3</v>
      </c>
      <c r="F186" s="3">
        <v>932.71</v>
      </c>
      <c r="G186" s="3">
        <f t="shared" si="2"/>
        <v>2798.13</v>
      </c>
    </row>
    <row r="187" spans="1:7" x14ac:dyDescent="0.2">
      <c r="A187" s="1" t="s">
        <v>108</v>
      </c>
      <c r="B187" s="2" t="s">
        <v>8</v>
      </c>
      <c r="C187" s="2" t="s">
        <v>25</v>
      </c>
      <c r="D187" s="2" t="s">
        <v>45</v>
      </c>
      <c r="E187">
        <v>9</v>
      </c>
      <c r="F187" s="3">
        <v>907.57</v>
      </c>
      <c r="G187" s="3">
        <f t="shared" si="2"/>
        <v>8168.13</v>
      </c>
    </row>
    <row r="188" spans="1:7" x14ac:dyDescent="0.2">
      <c r="A188" s="1" t="s">
        <v>108</v>
      </c>
      <c r="B188" s="2" t="s">
        <v>16</v>
      </c>
      <c r="C188" s="2" t="s">
        <v>9</v>
      </c>
      <c r="D188" s="2" t="s">
        <v>10</v>
      </c>
      <c r="E188">
        <v>4</v>
      </c>
      <c r="F188" s="3">
        <v>402.42</v>
      </c>
      <c r="G188" s="3">
        <f t="shared" si="2"/>
        <v>1609.68</v>
      </c>
    </row>
    <row r="189" spans="1:7" x14ac:dyDescent="0.2">
      <c r="A189" s="1" t="s">
        <v>109</v>
      </c>
      <c r="B189" s="2" t="s">
        <v>8</v>
      </c>
      <c r="C189" s="2" t="s">
        <v>9</v>
      </c>
      <c r="D189" s="2" t="s">
        <v>41</v>
      </c>
      <c r="E189">
        <v>11</v>
      </c>
      <c r="F189" s="3">
        <v>1327.96</v>
      </c>
      <c r="G189" s="3">
        <f t="shared" si="2"/>
        <v>14607.560000000001</v>
      </c>
    </row>
    <row r="190" spans="1:7" x14ac:dyDescent="0.2">
      <c r="A190" s="1" t="s">
        <v>109</v>
      </c>
      <c r="B190" s="2" t="s">
        <v>16</v>
      </c>
      <c r="C190" s="2" t="s">
        <v>25</v>
      </c>
      <c r="D190" s="2" t="s">
        <v>26</v>
      </c>
      <c r="E190">
        <v>6</v>
      </c>
      <c r="F190" s="3">
        <v>1490.3</v>
      </c>
      <c r="G190" s="3">
        <f t="shared" si="2"/>
        <v>8941.7999999999993</v>
      </c>
    </row>
    <row r="191" spans="1:7" x14ac:dyDescent="0.2">
      <c r="A191" s="1" t="s">
        <v>110</v>
      </c>
      <c r="B191" s="2" t="s">
        <v>8</v>
      </c>
      <c r="C191" s="2" t="s">
        <v>25</v>
      </c>
      <c r="D191" s="2" t="s">
        <v>45</v>
      </c>
      <c r="E191">
        <v>8</v>
      </c>
      <c r="F191" s="3">
        <v>641.62</v>
      </c>
      <c r="G191" s="3">
        <f t="shared" si="2"/>
        <v>5132.96</v>
      </c>
    </row>
    <row r="192" spans="1:7" x14ac:dyDescent="0.2">
      <c r="A192" s="1" t="s">
        <v>110</v>
      </c>
      <c r="B192" s="2" t="s">
        <v>19</v>
      </c>
      <c r="C192" s="2" t="s">
        <v>25</v>
      </c>
      <c r="D192" s="2" t="s">
        <v>45</v>
      </c>
      <c r="E192">
        <v>3</v>
      </c>
      <c r="F192" s="3">
        <v>995.03</v>
      </c>
      <c r="G192" s="3">
        <f t="shared" si="2"/>
        <v>2985.09</v>
      </c>
    </row>
    <row r="193" spans="1:7" x14ac:dyDescent="0.2">
      <c r="A193" s="1" t="s">
        <v>111</v>
      </c>
      <c r="B193" s="2" t="s">
        <v>8</v>
      </c>
      <c r="C193" s="2" t="s">
        <v>25</v>
      </c>
      <c r="D193" s="2" t="s">
        <v>64</v>
      </c>
      <c r="E193">
        <v>8</v>
      </c>
      <c r="F193" s="3">
        <v>1236.3</v>
      </c>
      <c r="G193" s="3">
        <f t="shared" si="2"/>
        <v>9890.4</v>
      </c>
    </row>
    <row r="194" spans="1:7" x14ac:dyDescent="0.2">
      <c r="A194" s="1" t="s">
        <v>111</v>
      </c>
      <c r="B194" s="2" t="s">
        <v>8</v>
      </c>
      <c r="C194" s="2" t="s">
        <v>25</v>
      </c>
      <c r="D194" s="2" t="s">
        <v>36</v>
      </c>
      <c r="E194">
        <v>8</v>
      </c>
      <c r="F194" s="3">
        <v>716.74</v>
      </c>
      <c r="G194" s="3">
        <f t="shared" ref="G194:G257" si="3">E194*F194</f>
        <v>5733.92</v>
      </c>
    </row>
    <row r="195" spans="1:7" x14ac:dyDescent="0.2">
      <c r="A195" s="1" t="s">
        <v>111</v>
      </c>
      <c r="B195" s="2" t="s">
        <v>16</v>
      </c>
      <c r="C195" s="2" t="s">
        <v>21</v>
      </c>
      <c r="D195" s="2" t="s">
        <v>27</v>
      </c>
      <c r="E195">
        <v>8</v>
      </c>
      <c r="F195" s="3">
        <v>1622.04</v>
      </c>
      <c r="G195" s="3">
        <f t="shared" si="3"/>
        <v>12976.32</v>
      </c>
    </row>
    <row r="196" spans="1:7" x14ac:dyDescent="0.2">
      <c r="A196" s="1" t="s">
        <v>111</v>
      </c>
      <c r="B196" s="2" t="s">
        <v>13</v>
      </c>
      <c r="C196" s="2" t="s">
        <v>21</v>
      </c>
      <c r="D196" s="2" t="s">
        <v>22</v>
      </c>
      <c r="E196">
        <v>5</v>
      </c>
      <c r="F196" s="3">
        <v>1036.8599999999999</v>
      </c>
      <c r="G196" s="3">
        <f t="shared" si="3"/>
        <v>5184.2999999999993</v>
      </c>
    </row>
    <row r="197" spans="1:7" x14ac:dyDescent="0.2">
      <c r="A197" s="1" t="s">
        <v>112</v>
      </c>
      <c r="B197" s="2" t="s">
        <v>16</v>
      </c>
      <c r="C197" s="2" t="s">
        <v>9</v>
      </c>
      <c r="D197" s="2" t="s">
        <v>30</v>
      </c>
      <c r="E197">
        <v>4</v>
      </c>
      <c r="F197" s="3">
        <v>8239.7099999999991</v>
      </c>
      <c r="G197" s="3">
        <f t="shared" si="3"/>
        <v>32958.839999999997</v>
      </c>
    </row>
    <row r="198" spans="1:7" x14ac:dyDescent="0.2">
      <c r="A198" s="1" t="s">
        <v>112</v>
      </c>
      <c r="B198" s="2" t="s">
        <v>13</v>
      </c>
      <c r="C198" s="2" t="s">
        <v>21</v>
      </c>
      <c r="D198" s="2" t="s">
        <v>28</v>
      </c>
      <c r="E198">
        <v>6</v>
      </c>
      <c r="F198" s="3">
        <v>5703.41</v>
      </c>
      <c r="G198" s="3">
        <f t="shared" si="3"/>
        <v>34220.46</v>
      </c>
    </row>
    <row r="199" spans="1:7" x14ac:dyDescent="0.2">
      <c r="A199" s="1" t="s">
        <v>113</v>
      </c>
      <c r="B199" s="2" t="s">
        <v>19</v>
      </c>
      <c r="C199" s="2" t="s">
        <v>9</v>
      </c>
      <c r="D199" s="2" t="s">
        <v>41</v>
      </c>
      <c r="E199">
        <v>5</v>
      </c>
      <c r="F199" s="3">
        <v>2006.12</v>
      </c>
      <c r="G199" s="3">
        <f t="shared" si="3"/>
        <v>10030.599999999999</v>
      </c>
    </row>
    <row r="200" spans="1:7" x14ac:dyDescent="0.2">
      <c r="A200" s="1" t="s">
        <v>114</v>
      </c>
      <c r="B200" s="2" t="s">
        <v>16</v>
      </c>
      <c r="C200" s="2" t="s">
        <v>9</v>
      </c>
      <c r="D200" s="2" t="s">
        <v>17</v>
      </c>
      <c r="E200">
        <v>6</v>
      </c>
      <c r="F200" s="3">
        <v>4780.95</v>
      </c>
      <c r="G200" s="3">
        <f t="shared" si="3"/>
        <v>28685.699999999997</v>
      </c>
    </row>
    <row r="201" spans="1:7" x14ac:dyDescent="0.2">
      <c r="A201" s="1" t="s">
        <v>114</v>
      </c>
      <c r="B201" s="2" t="s">
        <v>19</v>
      </c>
      <c r="C201" s="2" t="s">
        <v>25</v>
      </c>
      <c r="D201" s="2" t="s">
        <v>26</v>
      </c>
      <c r="E201">
        <v>3</v>
      </c>
      <c r="F201" s="3">
        <v>2095.86</v>
      </c>
      <c r="G201" s="3">
        <f t="shared" si="3"/>
        <v>6287.58</v>
      </c>
    </row>
    <row r="202" spans="1:7" x14ac:dyDescent="0.2">
      <c r="A202" s="1" t="s">
        <v>115</v>
      </c>
      <c r="B202" s="2" t="s">
        <v>8</v>
      </c>
      <c r="C202" s="2" t="s">
        <v>11</v>
      </c>
      <c r="D202" s="2" t="s">
        <v>20</v>
      </c>
      <c r="E202">
        <v>8</v>
      </c>
      <c r="F202" s="3">
        <v>547.02</v>
      </c>
      <c r="G202" s="3">
        <f t="shared" si="3"/>
        <v>4376.16</v>
      </c>
    </row>
    <row r="203" spans="1:7" x14ac:dyDescent="0.2">
      <c r="A203" s="1" t="s">
        <v>116</v>
      </c>
      <c r="B203" s="2" t="s">
        <v>19</v>
      </c>
      <c r="C203" s="2" t="s">
        <v>11</v>
      </c>
      <c r="D203" s="2" t="s">
        <v>20</v>
      </c>
      <c r="E203">
        <v>5</v>
      </c>
      <c r="F203" s="3">
        <v>1005.52</v>
      </c>
      <c r="G203" s="3">
        <f t="shared" si="3"/>
        <v>5027.6000000000004</v>
      </c>
    </row>
    <row r="204" spans="1:7" x14ac:dyDescent="0.2">
      <c r="A204" s="1" t="s">
        <v>117</v>
      </c>
      <c r="B204" s="2" t="s">
        <v>19</v>
      </c>
      <c r="C204" s="2" t="s">
        <v>21</v>
      </c>
      <c r="D204" s="2" t="s">
        <v>28</v>
      </c>
      <c r="E204">
        <v>7</v>
      </c>
      <c r="F204" s="3">
        <v>4596.2700000000004</v>
      </c>
      <c r="G204" s="3">
        <f t="shared" si="3"/>
        <v>32173.890000000003</v>
      </c>
    </row>
    <row r="205" spans="1:7" x14ac:dyDescent="0.2">
      <c r="A205" s="1" t="s">
        <v>117</v>
      </c>
      <c r="B205" s="2" t="s">
        <v>16</v>
      </c>
      <c r="C205" s="2" t="s">
        <v>9</v>
      </c>
      <c r="D205" s="2" t="s">
        <v>43</v>
      </c>
      <c r="E205">
        <v>6</v>
      </c>
      <c r="F205" s="3">
        <v>795.9</v>
      </c>
      <c r="G205" s="3">
        <f t="shared" si="3"/>
        <v>4775.3999999999996</v>
      </c>
    </row>
    <row r="206" spans="1:7" x14ac:dyDescent="0.2">
      <c r="A206" s="1" t="s">
        <v>117</v>
      </c>
      <c r="B206" s="2" t="s">
        <v>8</v>
      </c>
      <c r="C206" s="2" t="s">
        <v>21</v>
      </c>
      <c r="D206" s="2" t="s">
        <v>27</v>
      </c>
      <c r="E206">
        <v>6</v>
      </c>
      <c r="F206" s="3">
        <v>1400.94</v>
      </c>
      <c r="G206" s="3">
        <f t="shared" si="3"/>
        <v>8405.64</v>
      </c>
    </row>
    <row r="207" spans="1:7" x14ac:dyDescent="0.2">
      <c r="A207" s="1" t="s">
        <v>118</v>
      </c>
      <c r="B207" s="2" t="s">
        <v>19</v>
      </c>
      <c r="C207" s="2" t="s">
        <v>11</v>
      </c>
      <c r="D207" s="2" t="s">
        <v>12</v>
      </c>
      <c r="E207">
        <v>3</v>
      </c>
      <c r="F207" s="3">
        <v>2350.4499999999998</v>
      </c>
      <c r="G207" s="3">
        <f t="shared" si="3"/>
        <v>7051.3499999999995</v>
      </c>
    </row>
    <row r="208" spans="1:7" x14ac:dyDescent="0.2">
      <c r="A208" s="1" t="s">
        <v>118</v>
      </c>
      <c r="B208" s="2" t="s">
        <v>19</v>
      </c>
      <c r="C208" s="2" t="s">
        <v>25</v>
      </c>
      <c r="D208" s="2" t="s">
        <v>45</v>
      </c>
      <c r="E208">
        <v>3</v>
      </c>
      <c r="F208" s="3">
        <v>544.16999999999996</v>
      </c>
      <c r="G208" s="3">
        <f t="shared" si="3"/>
        <v>1632.5099999999998</v>
      </c>
    </row>
    <row r="209" spans="1:7" x14ac:dyDescent="0.2">
      <c r="A209" s="1" t="s">
        <v>118</v>
      </c>
      <c r="B209" s="2" t="s">
        <v>8</v>
      </c>
      <c r="C209" s="2" t="s">
        <v>25</v>
      </c>
      <c r="D209" s="2" t="s">
        <v>36</v>
      </c>
      <c r="E209">
        <v>5</v>
      </c>
      <c r="F209" s="3">
        <v>700.83</v>
      </c>
      <c r="G209" s="3">
        <f t="shared" si="3"/>
        <v>3504.15</v>
      </c>
    </row>
    <row r="210" spans="1:7" x14ac:dyDescent="0.2">
      <c r="A210" s="1" t="s">
        <v>119</v>
      </c>
      <c r="B210" s="2" t="s">
        <v>8</v>
      </c>
      <c r="C210" s="2" t="s">
        <v>25</v>
      </c>
      <c r="D210" s="2" t="s">
        <v>36</v>
      </c>
      <c r="E210">
        <v>7</v>
      </c>
      <c r="F210" s="3">
        <v>791.19</v>
      </c>
      <c r="G210" s="3">
        <f t="shared" si="3"/>
        <v>5538.33</v>
      </c>
    </row>
    <row r="211" spans="1:7" x14ac:dyDescent="0.2">
      <c r="A211" s="1" t="s">
        <v>119</v>
      </c>
      <c r="B211" s="2" t="s">
        <v>8</v>
      </c>
      <c r="C211" s="2" t="s">
        <v>11</v>
      </c>
      <c r="D211" s="2" t="s">
        <v>20</v>
      </c>
      <c r="E211">
        <v>7</v>
      </c>
      <c r="F211" s="3">
        <v>802.47</v>
      </c>
      <c r="G211" s="3">
        <f t="shared" si="3"/>
        <v>5617.29</v>
      </c>
    </row>
    <row r="212" spans="1:7" x14ac:dyDescent="0.2">
      <c r="A212" s="1" t="s">
        <v>120</v>
      </c>
      <c r="B212" s="2" t="s">
        <v>16</v>
      </c>
      <c r="C212" s="2" t="s">
        <v>21</v>
      </c>
      <c r="D212" s="2" t="s">
        <v>22</v>
      </c>
      <c r="E212">
        <v>7</v>
      </c>
      <c r="F212" s="3">
        <v>857.16</v>
      </c>
      <c r="G212" s="3">
        <f t="shared" si="3"/>
        <v>6000.12</v>
      </c>
    </row>
    <row r="213" spans="1:7" x14ac:dyDescent="0.2">
      <c r="A213" s="1" t="s">
        <v>120</v>
      </c>
      <c r="B213" s="2" t="s">
        <v>13</v>
      </c>
      <c r="C213" s="2" t="s">
        <v>25</v>
      </c>
      <c r="D213" s="2" t="s">
        <v>26</v>
      </c>
      <c r="E213">
        <v>5</v>
      </c>
      <c r="F213" s="3">
        <v>1137.6199999999999</v>
      </c>
      <c r="G213" s="3">
        <f t="shared" si="3"/>
        <v>5688.0999999999995</v>
      </c>
    </row>
    <row r="214" spans="1:7" x14ac:dyDescent="0.2">
      <c r="A214" s="1" t="s">
        <v>120</v>
      </c>
      <c r="B214" s="2" t="s">
        <v>16</v>
      </c>
      <c r="C214" s="2" t="s">
        <v>25</v>
      </c>
      <c r="D214" s="2" t="s">
        <v>36</v>
      </c>
      <c r="E214">
        <v>6</v>
      </c>
      <c r="F214" s="3">
        <v>737.25</v>
      </c>
      <c r="G214" s="3">
        <f t="shared" si="3"/>
        <v>4423.5</v>
      </c>
    </row>
    <row r="215" spans="1:7" x14ac:dyDescent="0.2">
      <c r="A215" s="1" t="s">
        <v>121</v>
      </c>
      <c r="B215" s="2" t="s">
        <v>16</v>
      </c>
      <c r="C215" s="2" t="s">
        <v>11</v>
      </c>
      <c r="D215" s="2" t="s">
        <v>14</v>
      </c>
      <c r="E215">
        <v>8</v>
      </c>
      <c r="F215" s="3">
        <v>1072.8</v>
      </c>
      <c r="G215" s="3">
        <f t="shared" si="3"/>
        <v>8582.4</v>
      </c>
    </row>
    <row r="216" spans="1:7" x14ac:dyDescent="0.2">
      <c r="A216" s="1" t="s">
        <v>121</v>
      </c>
      <c r="B216" s="2" t="s">
        <v>8</v>
      </c>
      <c r="C216" s="2" t="s">
        <v>9</v>
      </c>
      <c r="D216" s="2" t="s">
        <v>10</v>
      </c>
      <c r="E216">
        <v>8</v>
      </c>
      <c r="F216" s="3">
        <v>730.46</v>
      </c>
      <c r="G216" s="3">
        <f t="shared" si="3"/>
        <v>5843.68</v>
      </c>
    </row>
    <row r="217" spans="1:7" x14ac:dyDescent="0.2">
      <c r="A217" s="1" t="s">
        <v>121</v>
      </c>
      <c r="B217" s="2" t="s">
        <v>13</v>
      </c>
      <c r="C217" s="2" t="s">
        <v>21</v>
      </c>
      <c r="D217" s="2" t="s">
        <v>27</v>
      </c>
      <c r="E217">
        <v>3</v>
      </c>
      <c r="F217" s="3">
        <v>1182.07</v>
      </c>
      <c r="G217" s="3">
        <f t="shared" si="3"/>
        <v>3546.21</v>
      </c>
    </row>
    <row r="218" spans="1:7" x14ac:dyDescent="0.2">
      <c r="A218" s="1" t="s">
        <v>121</v>
      </c>
      <c r="B218" s="2" t="s">
        <v>13</v>
      </c>
      <c r="C218" s="2" t="s">
        <v>21</v>
      </c>
      <c r="D218" s="2" t="s">
        <v>22</v>
      </c>
      <c r="E218">
        <v>2</v>
      </c>
      <c r="F218" s="3">
        <v>903.46</v>
      </c>
      <c r="G218" s="3">
        <f t="shared" si="3"/>
        <v>1806.92</v>
      </c>
    </row>
    <row r="219" spans="1:7" x14ac:dyDescent="0.2">
      <c r="A219" s="1" t="s">
        <v>122</v>
      </c>
      <c r="B219" s="2" t="s">
        <v>8</v>
      </c>
      <c r="C219" s="2" t="s">
        <v>9</v>
      </c>
      <c r="D219" s="2" t="s">
        <v>30</v>
      </c>
      <c r="E219">
        <v>3</v>
      </c>
      <c r="F219" s="3">
        <v>6494.09</v>
      </c>
      <c r="G219" s="3">
        <f t="shared" si="3"/>
        <v>19482.27</v>
      </c>
    </row>
    <row r="220" spans="1:7" x14ac:dyDescent="0.2">
      <c r="A220" s="1" t="s">
        <v>122</v>
      </c>
      <c r="B220" s="2" t="s">
        <v>13</v>
      </c>
      <c r="C220" s="2" t="s">
        <v>21</v>
      </c>
      <c r="D220" s="2" t="s">
        <v>58</v>
      </c>
      <c r="E220">
        <v>4</v>
      </c>
      <c r="F220" s="3">
        <v>1927.52</v>
      </c>
      <c r="G220" s="3">
        <f t="shared" si="3"/>
        <v>7710.08</v>
      </c>
    </row>
    <row r="221" spans="1:7" x14ac:dyDescent="0.2">
      <c r="A221" s="1" t="s">
        <v>123</v>
      </c>
      <c r="B221" s="2" t="s">
        <v>19</v>
      </c>
      <c r="C221" s="2" t="s">
        <v>21</v>
      </c>
      <c r="D221" s="2" t="s">
        <v>22</v>
      </c>
      <c r="E221">
        <v>3</v>
      </c>
      <c r="F221" s="3">
        <v>1117.45</v>
      </c>
      <c r="G221" s="3">
        <f t="shared" si="3"/>
        <v>3352.3500000000004</v>
      </c>
    </row>
    <row r="222" spans="1:7" x14ac:dyDescent="0.2">
      <c r="A222" s="1" t="s">
        <v>124</v>
      </c>
      <c r="B222" s="2" t="s">
        <v>19</v>
      </c>
      <c r="C222" s="2" t="s">
        <v>25</v>
      </c>
      <c r="D222" s="2" t="s">
        <v>45</v>
      </c>
      <c r="E222">
        <v>6</v>
      </c>
      <c r="F222" s="3">
        <v>572.30999999999995</v>
      </c>
      <c r="G222" s="3">
        <f t="shared" si="3"/>
        <v>3433.8599999999997</v>
      </c>
    </row>
    <row r="223" spans="1:7" x14ac:dyDescent="0.2">
      <c r="A223" s="1" t="s">
        <v>124</v>
      </c>
      <c r="B223" s="2" t="s">
        <v>19</v>
      </c>
      <c r="C223" s="2" t="s">
        <v>11</v>
      </c>
      <c r="D223" s="2" t="s">
        <v>14</v>
      </c>
      <c r="E223">
        <v>2</v>
      </c>
      <c r="F223" s="3">
        <v>1495</v>
      </c>
      <c r="G223" s="3">
        <f t="shared" si="3"/>
        <v>2990</v>
      </c>
    </row>
    <row r="224" spans="1:7" x14ac:dyDescent="0.2">
      <c r="A224" s="1" t="s">
        <v>125</v>
      </c>
      <c r="B224" s="2" t="s">
        <v>8</v>
      </c>
      <c r="C224" s="2" t="s">
        <v>11</v>
      </c>
      <c r="D224" s="2" t="s">
        <v>12</v>
      </c>
      <c r="E224">
        <v>5</v>
      </c>
      <c r="F224" s="3">
        <v>2736.19</v>
      </c>
      <c r="G224" s="3">
        <f t="shared" si="3"/>
        <v>13680.95</v>
      </c>
    </row>
    <row r="225" spans="1:7" x14ac:dyDescent="0.2">
      <c r="A225" s="1" t="s">
        <v>126</v>
      </c>
      <c r="B225" s="2" t="s">
        <v>13</v>
      </c>
      <c r="C225" s="2" t="s">
        <v>9</v>
      </c>
      <c r="D225" s="2" t="s">
        <v>43</v>
      </c>
      <c r="E225">
        <v>6</v>
      </c>
      <c r="F225" s="3">
        <v>609.9</v>
      </c>
      <c r="G225" s="3">
        <f t="shared" si="3"/>
        <v>3659.3999999999996</v>
      </c>
    </row>
    <row r="226" spans="1:7" x14ac:dyDescent="0.2">
      <c r="A226" s="1" t="s">
        <v>126</v>
      </c>
      <c r="B226" s="2" t="s">
        <v>19</v>
      </c>
      <c r="C226" s="2" t="s">
        <v>9</v>
      </c>
      <c r="D226" s="2" t="s">
        <v>10</v>
      </c>
      <c r="E226">
        <v>3</v>
      </c>
      <c r="F226" s="3">
        <v>518.13</v>
      </c>
      <c r="G226" s="3">
        <f t="shared" si="3"/>
        <v>1554.3899999999999</v>
      </c>
    </row>
    <row r="227" spans="1:7" x14ac:dyDescent="0.2">
      <c r="A227" s="1" t="s">
        <v>126</v>
      </c>
      <c r="B227" s="2" t="s">
        <v>13</v>
      </c>
      <c r="C227" s="2" t="s">
        <v>21</v>
      </c>
      <c r="D227" s="2" t="s">
        <v>27</v>
      </c>
      <c r="E227">
        <v>7</v>
      </c>
      <c r="F227" s="3">
        <v>948.66</v>
      </c>
      <c r="G227" s="3">
        <f t="shared" si="3"/>
        <v>6640.62</v>
      </c>
    </row>
    <row r="228" spans="1:7" x14ac:dyDescent="0.2">
      <c r="A228" s="1" t="s">
        <v>126</v>
      </c>
      <c r="B228" s="2" t="s">
        <v>8</v>
      </c>
      <c r="C228" s="2" t="s">
        <v>9</v>
      </c>
      <c r="D228" s="2" t="s">
        <v>30</v>
      </c>
      <c r="E228">
        <v>3</v>
      </c>
      <c r="F228" s="3">
        <v>5341.39</v>
      </c>
      <c r="G228" s="3">
        <f t="shared" si="3"/>
        <v>16024.170000000002</v>
      </c>
    </row>
    <row r="229" spans="1:7" x14ac:dyDescent="0.2">
      <c r="A229" s="1" t="s">
        <v>127</v>
      </c>
      <c r="B229" s="2" t="s">
        <v>13</v>
      </c>
      <c r="C229" s="2" t="s">
        <v>9</v>
      </c>
      <c r="D229" s="2" t="s">
        <v>43</v>
      </c>
      <c r="E229">
        <v>5</v>
      </c>
      <c r="F229" s="3">
        <v>949.51</v>
      </c>
      <c r="G229" s="3">
        <f t="shared" si="3"/>
        <v>4747.55</v>
      </c>
    </row>
    <row r="230" spans="1:7" x14ac:dyDescent="0.2">
      <c r="A230" s="1" t="s">
        <v>127</v>
      </c>
      <c r="B230" s="2" t="s">
        <v>8</v>
      </c>
      <c r="C230" s="2" t="s">
        <v>11</v>
      </c>
      <c r="D230" s="2" t="s">
        <v>20</v>
      </c>
      <c r="E230">
        <v>8</v>
      </c>
      <c r="F230" s="3">
        <v>514.35</v>
      </c>
      <c r="G230" s="3">
        <f t="shared" si="3"/>
        <v>4114.8</v>
      </c>
    </row>
    <row r="231" spans="1:7" x14ac:dyDescent="0.2">
      <c r="A231" s="1" t="s">
        <v>128</v>
      </c>
      <c r="B231" s="2" t="s">
        <v>8</v>
      </c>
      <c r="C231" s="2" t="s">
        <v>25</v>
      </c>
      <c r="D231" s="2" t="s">
        <v>45</v>
      </c>
      <c r="E231">
        <v>8</v>
      </c>
      <c r="F231" s="3">
        <v>900.35</v>
      </c>
      <c r="G231" s="3">
        <f t="shared" si="3"/>
        <v>7202.8</v>
      </c>
    </row>
    <row r="232" spans="1:7" x14ac:dyDescent="0.2">
      <c r="A232" s="1" t="s">
        <v>129</v>
      </c>
      <c r="B232" s="2" t="s">
        <v>8</v>
      </c>
      <c r="C232" s="2" t="s">
        <v>11</v>
      </c>
      <c r="D232" s="2" t="s">
        <v>48</v>
      </c>
      <c r="E232">
        <v>2</v>
      </c>
      <c r="F232" s="3">
        <v>2128.75</v>
      </c>
      <c r="G232" s="3">
        <f t="shared" si="3"/>
        <v>4257.5</v>
      </c>
    </row>
    <row r="233" spans="1:7" x14ac:dyDescent="0.2">
      <c r="A233" s="1" t="s">
        <v>130</v>
      </c>
      <c r="B233" s="2" t="s">
        <v>8</v>
      </c>
      <c r="C233" s="2" t="s">
        <v>9</v>
      </c>
      <c r="D233" s="2" t="s">
        <v>43</v>
      </c>
      <c r="E233">
        <v>4</v>
      </c>
      <c r="F233" s="3">
        <v>1070.18</v>
      </c>
      <c r="G233" s="3">
        <f t="shared" si="3"/>
        <v>4280.72</v>
      </c>
    </row>
    <row r="234" spans="1:7" x14ac:dyDescent="0.2">
      <c r="A234" s="1" t="s">
        <v>130</v>
      </c>
      <c r="B234" s="2" t="s">
        <v>13</v>
      </c>
      <c r="C234" s="2" t="s">
        <v>9</v>
      </c>
      <c r="D234" s="2" t="s">
        <v>17</v>
      </c>
      <c r="E234">
        <v>1</v>
      </c>
      <c r="F234" s="3">
        <v>3532.27</v>
      </c>
      <c r="G234" s="3">
        <f t="shared" si="3"/>
        <v>3532.27</v>
      </c>
    </row>
    <row r="235" spans="1:7" x14ac:dyDescent="0.2">
      <c r="A235" s="1" t="s">
        <v>130</v>
      </c>
      <c r="B235" s="2" t="s">
        <v>13</v>
      </c>
      <c r="C235" s="2" t="s">
        <v>11</v>
      </c>
      <c r="D235" s="2" t="s">
        <v>48</v>
      </c>
      <c r="E235">
        <v>2</v>
      </c>
      <c r="F235" s="3">
        <v>2420.34</v>
      </c>
      <c r="G235" s="3">
        <f t="shared" si="3"/>
        <v>4840.68</v>
      </c>
    </row>
    <row r="236" spans="1:7" x14ac:dyDescent="0.2">
      <c r="A236" s="1" t="s">
        <v>131</v>
      </c>
      <c r="B236" s="2" t="s">
        <v>16</v>
      </c>
      <c r="C236" s="2" t="s">
        <v>25</v>
      </c>
      <c r="D236" s="2" t="s">
        <v>45</v>
      </c>
      <c r="E236">
        <v>1</v>
      </c>
      <c r="F236" s="3">
        <v>1099.71</v>
      </c>
      <c r="G236" s="3">
        <f t="shared" si="3"/>
        <v>1099.71</v>
      </c>
    </row>
    <row r="237" spans="1:7" x14ac:dyDescent="0.2">
      <c r="A237" s="1" t="s">
        <v>131</v>
      </c>
      <c r="B237" s="2" t="s">
        <v>16</v>
      </c>
      <c r="C237" s="2" t="s">
        <v>25</v>
      </c>
      <c r="D237" s="2" t="s">
        <v>36</v>
      </c>
      <c r="E237">
        <v>8</v>
      </c>
      <c r="F237" s="3">
        <v>804.35</v>
      </c>
      <c r="G237" s="3">
        <f t="shared" si="3"/>
        <v>6434.8</v>
      </c>
    </row>
    <row r="238" spans="1:7" x14ac:dyDescent="0.2">
      <c r="A238" s="1" t="s">
        <v>131</v>
      </c>
      <c r="B238" s="2" t="s">
        <v>13</v>
      </c>
      <c r="C238" s="2" t="s">
        <v>9</v>
      </c>
      <c r="D238" s="2" t="s">
        <v>30</v>
      </c>
      <c r="E238">
        <v>10</v>
      </c>
      <c r="F238" s="3">
        <v>8466.98</v>
      </c>
      <c r="G238" s="3">
        <f t="shared" si="3"/>
        <v>84669.799999999988</v>
      </c>
    </row>
    <row r="239" spans="1:7" x14ac:dyDescent="0.2">
      <c r="A239" s="1" t="s">
        <v>132</v>
      </c>
      <c r="B239" s="2" t="s">
        <v>19</v>
      </c>
      <c r="C239" s="2" t="s">
        <v>11</v>
      </c>
      <c r="D239" s="2" t="s">
        <v>14</v>
      </c>
      <c r="E239">
        <v>3</v>
      </c>
      <c r="F239" s="3">
        <v>1115.8800000000001</v>
      </c>
      <c r="G239" s="3">
        <f t="shared" si="3"/>
        <v>3347.6400000000003</v>
      </c>
    </row>
    <row r="240" spans="1:7" x14ac:dyDescent="0.2">
      <c r="A240" s="1" t="s">
        <v>132</v>
      </c>
      <c r="B240" s="2" t="s">
        <v>16</v>
      </c>
      <c r="C240" s="2" t="s">
        <v>11</v>
      </c>
      <c r="D240" s="2" t="s">
        <v>12</v>
      </c>
      <c r="E240">
        <v>5</v>
      </c>
      <c r="F240" s="3">
        <v>1776.17</v>
      </c>
      <c r="G240" s="3">
        <f t="shared" si="3"/>
        <v>8880.85</v>
      </c>
    </row>
    <row r="241" spans="1:7" x14ac:dyDescent="0.2">
      <c r="A241" s="1" t="s">
        <v>132</v>
      </c>
      <c r="B241" s="2" t="s">
        <v>13</v>
      </c>
      <c r="C241" s="2" t="s">
        <v>25</v>
      </c>
      <c r="D241" s="2" t="s">
        <v>26</v>
      </c>
      <c r="E241">
        <v>2</v>
      </c>
      <c r="F241" s="3">
        <v>1017.55</v>
      </c>
      <c r="G241" s="3">
        <f t="shared" si="3"/>
        <v>2035.1</v>
      </c>
    </row>
    <row r="242" spans="1:7" x14ac:dyDescent="0.2">
      <c r="A242" s="1" t="s">
        <v>132</v>
      </c>
      <c r="B242" s="2" t="s">
        <v>19</v>
      </c>
      <c r="C242" s="2" t="s">
        <v>25</v>
      </c>
      <c r="D242" s="2" t="s">
        <v>45</v>
      </c>
      <c r="E242">
        <v>4</v>
      </c>
      <c r="F242" s="3">
        <v>1155.3499999999999</v>
      </c>
      <c r="G242" s="3">
        <f t="shared" si="3"/>
        <v>4621.3999999999996</v>
      </c>
    </row>
    <row r="243" spans="1:7" x14ac:dyDescent="0.2">
      <c r="A243" s="1" t="s">
        <v>133</v>
      </c>
      <c r="B243" s="2" t="s">
        <v>16</v>
      </c>
      <c r="C243" s="2" t="s">
        <v>25</v>
      </c>
      <c r="D243" s="2" t="s">
        <v>26</v>
      </c>
      <c r="E243">
        <v>2</v>
      </c>
      <c r="F243" s="3">
        <v>1964.66</v>
      </c>
      <c r="G243" s="3">
        <f t="shared" si="3"/>
        <v>3929.32</v>
      </c>
    </row>
    <row r="244" spans="1:7" x14ac:dyDescent="0.2">
      <c r="A244" s="1" t="s">
        <v>133</v>
      </c>
      <c r="B244" s="2" t="s">
        <v>16</v>
      </c>
      <c r="C244" s="2" t="s">
        <v>11</v>
      </c>
      <c r="D244" s="2" t="s">
        <v>12</v>
      </c>
      <c r="E244">
        <v>4</v>
      </c>
      <c r="F244" s="3">
        <v>2414.1799999999998</v>
      </c>
      <c r="G244" s="3">
        <f t="shared" si="3"/>
        <v>9656.7199999999993</v>
      </c>
    </row>
    <row r="245" spans="1:7" x14ac:dyDescent="0.2">
      <c r="A245" s="1" t="s">
        <v>134</v>
      </c>
      <c r="B245" s="2" t="s">
        <v>19</v>
      </c>
      <c r="C245" s="2" t="s">
        <v>9</v>
      </c>
      <c r="D245" s="2" t="s">
        <v>43</v>
      </c>
      <c r="E245">
        <v>7</v>
      </c>
      <c r="F245" s="3">
        <v>1219.28</v>
      </c>
      <c r="G245" s="3">
        <f t="shared" si="3"/>
        <v>8534.9599999999991</v>
      </c>
    </row>
    <row r="246" spans="1:7" x14ac:dyDescent="0.2">
      <c r="A246" s="1" t="s">
        <v>134</v>
      </c>
      <c r="B246" s="2" t="s">
        <v>13</v>
      </c>
      <c r="C246" s="2" t="s">
        <v>9</v>
      </c>
      <c r="D246" s="2" t="s">
        <v>10</v>
      </c>
      <c r="E246">
        <v>6</v>
      </c>
      <c r="F246" s="3">
        <v>677.9</v>
      </c>
      <c r="G246" s="3">
        <f t="shared" si="3"/>
        <v>4067.3999999999996</v>
      </c>
    </row>
    <row r="247" spans="1:7" x14ac:dyDescent="0.2">
      <c r="A247" s="1" t="s">
        <v>134</v>
      </c>
      <c r="B247" s="2" t="s">
        <v>16</v>
      </c>
      <c r="C247" s="2" t="s">
        <v>21</v>
      </c>
      <c r="D247" s="2" t="s">
        <v>37</v>
      </c>
      <c r="E247">
        <v>4</v>
      </c>
      <c r="F247" s="3">
        <v>3184.35</v>
      </c>
      <c r="G247" s="3">
        <f t="shared" si="3"/>
        <v>12737.4</v>
      </c>
    </row>
    <row r="248" spans="1:7" x14ac:dyDescent="0.2">
      <c r="A248" s="1" t="s">
        <v>134</v>
      </c>
      <c r="B248" s="2" t="s">
        <v>16</v>
      </c>
      <c r="C248" s="2" t="s">
        <v>25</v>
      </c>
      <c r="D248" s="2" t="s">
        <v>45</v>
      </c>
      <c r="E248">
        <v>6</v>
      </c>
      <c r="F248" s="3">
        <v>1074.71</v>
      </c>
      <c r="G248" s="3">
        <f t="shared" si="3"/>
        <v>6448.26</v>
      </c>
    </row>
    <row r="249" spans="1:7" x14ac:dyDescent="0.2">
      <c r="A249" s="1" t="s">
        <v>135</v>
      </c>
      <c r="B249" s="2" t="s">
        <v>16</v>
      </c>
      <c r="C249" s="2" t="s">
        <v>11</v>
      </c>
      <c r="D249" s="2" t="s">
        <v>14</v>
      </c>
      <c r="E249">
        <v>2</v>
      </c>
      <c r="F249" s="3">
        <v>1419.61</v>
      </c>
      <c r="G249" s="3">
        <f t="shared" si="3"/>
        <v>2839.22</v>
      </c>
    </row>
    <row r="250" spans="1:7" x14ac:dyDescent="0.2">
      <c r="A250" s="1" t="s">
        <v>136</v>
      </c>
      <c r="B250" s="2" t="s">
        <v>13</v>
      </c>
      <c r="C250" s="2" t="s">
        <v>21</v>
      </c>
      <c r="D250" s="2" t="s">
        <v>58</v>
      </c>
      <c r="E250">
        <v>5</v>
      </c>
      <c r="F250" s="3">
        <v>2285.15</v>
      </c>
      <c r="G250" s="3">
        <f t="shared" si="3"/>
        <v>11425.75</v>
      </c>
    </row>
    <row r="251" spans="1:7" x14ac:dyDescent="0.2">
      <c r="A251" s="1" t="s">
        <v>136</v>
      </c>
      <c r="B251" s="2" t="s">
        <v>16</v>
      </c>
      <c r="C251" s="2" t="s">
        <v>11</v>
      </c>
      <c r="D251" s="2" t="s">
        <v>48</v>
      </c>
      <c r="E251">
        <v>7</v>
      </c>
      <c r="F251" s="3">
        <v>2022.37</v>
      </c>
      <c r="G251" s="3">
        <f t="shared" si="3"/>
        <v>14156.59</v>
      </c>
    </row>
    <row r="252" spans="1:7" x14ac:dyDescent="0.2">
      <c r="A252" s="1" t="s">
        <v>137</v>
      </c>
      <c r="B252" s="2" t="s">
        <v>19</v>
      </c>
      <c r="C252" s="2" t="s">
        <v>25</v>
      </c>
      <c r="D252" s="2" t="s">
        <v>26</v>
      </c>
      <c r="E252">
        <v>6</v>
      </c>
      <c r="F252" s="3">
        <v>1659.83</v>
      </c>
      <c r="G252" s="3">
        <f t="shared" si="3"/>
        <v>9958.98</v>
      </c>
    </row>
    <row r="253" spans="1:7" x14ac:dyDescent="0.2">
      <c r="A253" s="1" t="s">
        <v>138</v>
      </c>
      <c r="B253" s="2" t="s">
        <v>8</v>
      </c>
      <c r="C253" s="2" t="s">
        <v>9</v>
      </c>
      <c r="D253" s="2" t="s">
        <v>41</v>
      </c>
      <c r="E253">
        <v>7</v>
      </c>
      <c r="F253" s="3">
        <v>1435.49</v>
      </c>
      <c r="G253" s="3">
        <f t="shared" si="3"/>
        <v>10048.43</v>
      </c>
    </row>
    <row r="254" spans="1:7" x14ac:dyDescent="0.2">
      <c r="A254" s="1" t="s">
        <v>138</v>
      </c>
      <c r="B254" s="2" t="s">
        <v>16</v>
      </c>
      <c r="C254" s="2" t="s">
        <v>25</v>
      </c>
      <c r="D254" s="2" t="s">
        <v>26</v>
      </c>
      <c r="E254">
        <v>3</v>
      </c>
      <c r="F254" s="3">
        <v>1128.93</v>
      </c>
      <c r="G254" s="3">
        <f t="shared" si="3"/>
        <v>3386.79</v>
      </c>
    </row>
    <row r="255" spans="1:7" x14ac:dyDescent="0.2">
      <c r="A255" s="1" t="s">
        <v>138</v>
      </c>
      <c r="B255" s="2" t="s">
        <v>13</v>
      </c>
      <c r="C255" s="2" t="s">
        <v>9</v>
      </c>
      <c r="D255" s="2" t="s">
        <v>41</v>
      </c>
      <c r="E255">
        <v>5</v>
      </c>
      <c r="F255" s="3">
        <v>1923.25</v>
      </c>
      <c r="G255" s="3">
        <f t="shared" si="3"/>
        <v>9616.25</v>
      </c>
    </row>
    <row r="256" spans="1:7" x14ac:dyDescent="0.2">
      <c r="A256" s="1" t="s">
        <v>139</v>
      </c>
      <c r="B256" s="2" t="s">
        <v>13</v>
      </c>
      <c r="C256" s="2" t="s">
        <v>25</v>
      </c>
      <c r="D256" s="2" t="s">
        <v>50</v>
      </c>
      <c r="E256">
        <v>6</v>
      </c>
      <c r="F256" s="3">
        <v>2115.2399999999998</v>
      </c>
      <c r="G256" s="3">
        <f t="shared" si="3"/>
        <v>12691.439999999999</v>
      </c>
    </row>
    <row r="257" spans="1:7" x14ac:dyDescent="0.2">
      <c r="A257" s="1" t="s">
        <v>139</v>
      </c>
      <c r="B257" s="2" t="s">
        <v>13</v>
      </c>
      <c r="C257" s="2" t="s">
        <v>21</v>
      </c>
      <c r="D257" s="2" t="s">
        <v>22</v>
      </c>
      <c r="E257">
        <v>1</v>
      </c>
      <c r="F257" s="3">
        <v>742.58</v>
      </c>
      <c r="G257" s="3">
        <f t="shared" si="3"/>
        <v>742.58</v>
      </c>
    </row>
    <row r="258" spans="1:7" x14ac:dyDescent="0.2">
      <c r="A258" s="1" t="s">
        <v>139</v>
      </c>
      <c r="B258" s="2" t="s">
        <v>8</v>
      </c>
      <c r="C258" s="2" t="s">
        <v>9</v>
      </c>
      <c r="D258" s="2" t="s">
        <v>43</v>
      </c>
      <c r="E258">
        <v>3</v>
      </c>
      <c r="F258" s="3">
        <v>971.42</v>
      </c>
      <c r="G258" s="3">
        <f t="shared" ref="G258:G321" si="4">E258*F258</f>
        <v>2914.2599999999998</v>
      </c>
    </row>
    <row r="259" spans="1:7" x14ac:dyDescent="0.2">
      <c r="A259" s="1" t="s">
        <v>139</v>
      </c>
      <c r="B259" s="2" t="s">
        <v>8</v>
      </c>
      <c r="C259" s="2" t="s">
        <v>11</v>
      </c>
      <c r="D259" s="2" t="s">
        <v>31</v>
      </c>
      <c r="E259">
        <v>8</v>
      </c>
      <c r="F259" s="3">
        <v>453.32</v>
      </c>
      <c r="G259" s="3">
        <f t="shared" si="4"/>
        <v>3626.56</v>
      </c>
    </row>
    <row r="260" spans="1:7" x14ac:dyDescent="0.2">
      <c r="A260" s="1" t="s">
        <v>139</v>
      </c>
      <c r="B260" s="2" t="s">
        <v>13</v>
      </c>
      <c r="C260" s="2" t="s">
        <v>11</v>
      </c>
      <c r="D260" s="2" t="s">
        <v>14</v>
      </c>
      <c r="E260">
        <v>5</v>
      </c>
      <c r="F260" s="3">
        <v>1096.5999999999999</v>
      </c>
      <c r="G260" s="3">
        <f t="shared" si="4"/>
        <v>5483</v>
      </c>
    </row>
    <row r="261" spans="1:7" x14ac:dyDescent="0.2">
      <c r="A261" s="1" t="s">
        <v>139</v>
      </c>
      <c r="B261" s="2" t="s">
        <v>16</v>
      </c>
      <c r="C261" s="2" t="s">
        <v>21</v>
      </c>
      <c r="D261" s="2" t="s">
        <v>37</v>
      </c>
      <c r="E261">
        <v>4</v>
      </c>
      <c r="F261" s="3">
        <v>2718.05</v>
      </c>
      <c r="G261" s="3">
        <f t="shared" si="4"/>
        <v>10872.2</v>
      </c>
    </row>
    <row r="262" spans="1:7" x14ac:dyDescent="0.2">
      <c r="A262" s="1" t="s">
        <v>140</v>
      </c>
      <c r="B262" s="2" t="s">
        <v>16</v>
      </c>
      <c r="C262" s="2" t="s">
        <v>21</v>
      </c>
      <c r="D262" s="2" t="s">
        <v>37</v>
      </c>
      <c r="E262">
        <v>8</v>
      </c>
      <c r="F262" s="3">
        <v>2742.9</v>
      </c>
      <c r="G262" s="3">
        <f t="shared" si="4"/>
        <v>21943.200000000001</v>
      </c>
    </row>
    <row r="263" spans="1:7" x14ac:dyDescent="0.2">
      <c r="A263" s="1" t="s">
        <v>141</v>
      </c>
      <c r="B263" s="2" t="s">
        <v>8</v>
      </c>
      <c r="C263" s="2" t="s">
        <v>11</v>
      </c>
      <c r="D263" s="2" t="s">
        <v>20</v>
      </c>
      <c r="E263">
        <v>5</v>
      </c>
      <c r="F263" s="3">
        <v>1090.3599999999999</v>
      </c>
      <c r="G263" s="3">
        <f t="shared" si="4"/>
        <v>5451.7999999999993</v>
      </c>
    </row>
    <row r="264" spans="1:7" x14ac:dyDescent="0.2">
      <c r="A264" s="1" t="s">
        <v>141</v>
      </c>
      <c r="B264" s="2" t="s">
        <v>13</v>
      </c>
      <c r="C264" s="2" t="s">
        <v>25</v>
      </c>
      <c r="D264" s="2" t="s">
        <v>64</v>
      </c>
      <c r="E264">
        <v>7</v>
      </c>
      <c r="F264" s="3">
        <v>712.53</v>
      </c>
      <c r="G264" s="3">
        <f t="shared" si="4"/>
        <v>4987.71</v>
      </c>
    </row>
    <row r="265" spans="1:7" x14ac:dyDescent="0.2">
      <c r="A265" s="1" t="s">
        <v>141</v>
      </c>
      <c r="B265" s="2" t="s">
        <v>16</v>
      </c>
      <c r="C265" s="2" t="s">
        <v>9</v>
      </c>
      <c r="D265" s="2" t="s">
        <v>17</v>
      </c>
      <c r="E265">
        <v>3</v>
      </c>
      <c r="F265" s="3">
        <v>4102.18</v>
      </c>
      <c r="G265" s="3">
        <f t="shared" si="4"/>
        <v>12306.54</v>
      </c>
    </row>
    <row r="266" spans="1:7" x14ac:dyDescent="0.2">
      <c r="A266" s="1" t="s">
        <v>141</v>
      </c>
      <c r="B266" s="2" t="s">
        <v>16</v>
      </c>
      <c r="C266" s="2" t="s">
        <v>9</v>
      </c>
      <c r="D266" s="2" t="s">
        <v>43</v>
      </c>
      <c r="E266">
        <v>1</v>
      </c>
      <c r="F266" s="3">
        <v>993.67</v>
      </c>
      <c r="G266" s="3">
        <f t="shared" si="4"/>
        <v>993.67</v>
      </c>
    </row>
    <row r="267" spans="1:7" x14ac:dyDescent="0.2">
      <c r="A267" s="1" t="s">
        <v>142</v>
      </c>
      <c r="B267" s="2" t="s">
        <v>16</v>
      </c>
      <c r="C267" s="2" t="s">
        <v>9</v>
      </c>
      <c r="D267" s="2" t="s">
        <v>41</v>
      </c>
      <c r="E267">
        <v>3</v>
      </c>
      <c r="F267" s="3">
        <v>1732.18</v>
      </c>
      <c r="G267" s="3">
        <f t="shared" si="4"/>
        <v>5196.54</v>
      </c>
    </row>
    <row r="268" spans="1:7" x14ac:dyDescent="0.2">
      <c r="A268" s="1" t="s">
        <v>142</v>
      </c>
      <c r="B268" s="2" t="s">
        <v>19</v>
      </c>
      <c r="C268" s="2" t="s">
        <v>11</v>
      </c>
      <c r="D268" s="2" t="s">
        <v>31</v>
      </c>
      <c r="E268">
        <v>6</v>
      </c>
      <c r="F268" s="3">
        <v>464.89</v>
      </c>
      <c r="G268" s="3">
        <f t="shared" si="4"/>
        <v>2789.34</v>
      </c>
    </row>
    <row r="269" spans="1:7" x14ac:dyDescent="0.2">
      <c r="A269" s="1" t="s">
        <v>143</v>
      </c>
      <c r="B269" s="2" t="s">
        <v>19</v>
      </c>
      <c r="C269" s="2" t="s">
        <v>21</v>
      </c>
      <c r="D269" s="2" t="s">
        <v>58</v>
      </c>
      <c r="E269">
        <v>3</v>
      </c>
      <c r="F269" s="3">
        <v>1952.8</v>
      </c>
      <c r="G269" s="3">
        <f t="shared" si="4"/>
        <v>5858.4</v>
      </c>
    </row>
    <row r="270" spans="1:7" x14ac:dyDescent="0.2">
      <c r="A270" s="1" t="s">
        <v>143</v>
      </c>
      <c r="B270" s="2" t="s">
        <v>19</v>
      </c>
      <c r="C270" s="2" t="s">
        <v>9</v>
      </c>
      <c r="D270" s="2" t="s">
        <v>43</v>
      </c>
      <c r="E270">
        <v>5</v>
      </c>
      <c r="F270" s="3">
        <v>1074.44</v>
      </c>
      <c r="G270" s="3">
        <f t="shared" si="4"/>
        <v>5372.2000000000007</v>
      </c>
    </row>
    <row r="271" spans="1:7" x14ac:dyDescent="0.2">
      <c r="A271" s="1" t="s">
        <v>143</v>
      </c>
      <c r="B271" s="2" t="s">
        <v>16</v>
      </c>
      <c r="C271" s="2" t="s">
        <v>9</v>
      </c>
      <c r="D271" s="2" t="s">
        <v>30</v>
      </c>
      <c r="E271">
        <v>1</v>
      </c>
      <c r="F271" s="3">
        <v>7653.68</v>
      </c>
      <c r="G271" s="3">
        <f t="shared" si="4"/>
        <v>7653.68</v>
      </c>
    </row>
    <row r="272" spans="1:7" x14ac:dyDescent="0.2">
      <c r="A272" s="1" t="s">
        <v>144</v>
      </c>
      <c r="B272" s="2" t="s">
        <v>8</v>
      </c>
      <c r="C272" s="2" t="s">
        <v>25</v>
      </c>
      <c r="D272" s="2" t="s">
        <v>50</v>
      </c>
      <c r="E272">
        <v>8</v>
      </c>
      <c r="F272" s="3">
        <v>2014.26</v>
      </c>
      <c r="G272" s="3">
        <f t="shared" si="4"/>
        <v>16114.08</v>
      </c>
    </row>
    <row r="273" spans="1:7" x14ac:dyDescent="0.2">
      <c r="A273" s="1" t="s">
        <v>144</v>
      </c>
      <c r="B273" s="2" t="s">
        <v>8</v>
      </c>
      <c r="C273" s="2" t="s">
        <v>25</v>
      </c>
      <c r="D273" s="2" t="s">
        <v>50</v>
      </c>
      <c r="E273">
        <v>5</v>
      </c>
      <c r="F273" s="3">
        <v>2241.04</v>
      </c>
      <c r="G273" s="3">
        <f t="shared" si="4"/>
        <v>11205.2</v>
      </c>
    </row>
    <row r="274" spans="1:7" x14ac:dyDescent="0.2">
      <c r="A274" s="1" t="s">
        <v>144</v>
      </c>
      <c r="B274" s="2" t="s">
        <v>8</v>
      </c>
      <c r="C274" s="2" t="s">
        <v>21</v>
      </c>
      <c r="D274" s="2" t="s">
        <v>58</v>
      </c>
      <c r="E274">
        <v>9</v>
      </c>
      <c r="F274" s="3">
        <v>1414.54</v>
      </c>
      <c r="G274" s="3">
        <f t="shared" si="4"/>
        <v>12730.86</v>
      </c>
    </row>
    <row r="275" spans="1:7" x14ac:dyDescent="0.2">
      <c r="A275" s="1" t="s">
        <v>145</v>
      </c>
      <c r="B275" s="2" t="s">
        <v>8</v>
      </c>
      <c r="C275" s="2" t="s">
        <v>21</v>
      </c>
      <c r="D275" s="2" t="s">
        <v>22</v>
      </c>
      <c r="E275">
        <v>8</v>
      </c>
      <c r="F275" s="3">
        <v>854.31</v>
      </c>
      <c r="G275" s="3">
        <f t="shared" si="4"/>
        <v>6834.48</v>
      </c>
    </row>
    <row r="276" spans="1:7" x14ac:dyDescent="0.2">
      <c r="A276" s="1" t="s">
        <v>145</v>
      </c>
      <c r="B276" s="2" t="s">
        <v>16</v>
      </c>
      <c r="C276" s="2" t="s">
        <v>9</v>
      </c>
      <c r="D276" s="2" t="s">
        <v>43</v>
      </c>
      <c r="E276">
        <v>1</v>
      </c>
      <c r="F276" s="3">
        <v>794.09</v>
      </c>
      <c r="G276" s="3">
        <f t="shared" si="4"/>
        <v>794.09</v>
      </c>
    </row>
    <row r="277" spans="1:7" x14ac:dyDescent="0.2">
      <c r="A277" s="1" t="s">
        <v>146</v>
      </c>
      <c r="B277" s="2" t="s">
        <v>16</v>
      </c>
      <c r="C277" s="2" t="s">
        <v>25</v>
      </c>
      <c r="D277" s="2" t="s">
        <v>36</v>
      </c>
      <c r="E277">
        <v>4</v>
      </c>
      <c r="F277" s="3">
        <v>689.46</v>
      </c>
      <c r="G277" s="3">
        <f t="shared" si="4"/>
        <v>2757.84</v>
      </c>
    </row>
    <row r="278" spans="1:7" x14ac:dyDescent="0.2">
      <c r="A278" s="1" t="s">
        <v>146</v>
      </c>
      <c r="B278" s="2" t="s">
        <v>8</v>
      </c>
      <c r="C278" s="2" t="s">
        <v>25</v>
      </c>
      <c r="D278" s="2" t="s">
        <v>26</v>
      </c>
      <c r="E278">
        <v>1</v>
      </c>
      <c r="F278" s="3">
        <v>1552.73</v>
      </c>
      <c r="G278" s="3">
        <f t="shared" si="4"/>
        <v>1552.73</v>
      </c>
    </row>
    <row r="279" spans="1:7" x14ac:dyDescent="0.2">
      <c r="A279" s="1" t="s">
        <v>146</v>
      </c>
      <c r="B279" s="2" t="s">
        <v>13</v>
      </c>
      <c r="C279" s="2" t="s">
        <v>21</v>
      </c>
      <c r="D279" s="2" t="s">
        <v>27</v>
      </c>
      <c r="E279">
        <v>8</v>
      </c>
      <c r="F279" s="3">
        <v>979.22</v>
      </c>
      <c r="G279" s="3">
        <f t="shared" si="4"/>
        <v>7833.76</v>
      </c>
    </row>
    <row r="280" spans="1:7" x14ac:dyDescent="0.2">
      <c r="A280" s="1" t="s">
        <v>146</v>
      </c>
      <c r="B280" s="2" t="s">
        <v>8</v>
      </c>
      <c r="C280" s="2" t="s">
        <v>25</v>
      </c>
      <c r="D280" s="2" t="s">
        <v>45</v>
      </c>
      <c r="E280">
        <v>3</v>
      </c>
      <c r="F280" s="3">
        <v>831.09</v>
      </c>
      <c r="G280" s="3">
        <f t="shared" si="4"/>
        <v>2493.27</v>
      </c>
    </row>
    <row r="281" spans="1:7" x14ac:dyDescent="0.2">
      <c r="A281" s="1" t="s">
        <v>146</v>
      </c>
      <c r="B281" s="2" t="s">
        <v>8</v>
      </c>
      <c r="C281" s="2" t="s">
        <v>9</v>
      </c>
      <c r="D281" s="2" t="s">
        <v>41</v>
      </c>
      <c r="E281">
        <v>10</v>
      </c>
      <c r="F281" s="3">
        <v>1344.21</v>
      </c>
      <c r="G281" s="3">
        <f t="shared" si="4"/>
        <v>13442.1</v>
      </c>
    </row>
    <row r="282" spans="1:7" x14ac:dyDescent="0.2">
      <c r="A282" s="1" t="s">
        <v>146</v>
      </c>
      <c r="B282" s="2" t="s">
        <v>8</v>
      </c>
      <c r="C282" s="2" t="s">
        <v>25</v>
      </c>
      <c r="D282" s="2" t="s">
        <v>26</v>
      </c>
      <c r="E282">
        <v>6</v>
      </c>
      <c r="F282" s="3">
        <v>1660.11</v>
      </c>
      <c r="G282" s="3">
        <f t="shared" si="4"/>
        <v>9960.66</v>
      </c>
    </row>
    <row r="283" spans="1:7" x14ac:dyDescent="0.2">
      <c r="A283" s="1" t="s">
        <v>147</v>
      </c>
      <c r="B283" s="2" t="s">
        <v>8</v>
      </c>
      <c r="C283" s="2" t="s">
        <v>9</v>
      </c>
      <c r="D283" s="2" t="s">
        <v>30</v>
      </c>
      <c r="E283">
        <v>3</v>
      </c>
      <c r="F283" s="3">
        <v>7755.09</v>
      </c>
      <c r="G283" s="3">
        <f t="shared" si="4"/>
        <v>23265.27</v>
      </c>
    </row>
    <row r="284" spans="1:7" x14ac:dyDescent="0.2">
      <c r="A284" s="1" t="s">
        <v>147</v>
      </c>
      <c r="B284" s="2" t="s">
        <v>13</v>
      </c>
      <c r="C284" s="2" t="s">
        <v>11</v>
      </c>
      <c r="D284" s="2" t="s">
        <v>12</v>
      </c>
      <c r="E284">
        <v>4</v>
      </c>
      <c r="F284" s="3">
        <v>2969.91</v>
      </c>
      <c r="G284" s="3">
        <f t="shared" si="4"/>
        <v>11879.64</v>
      </c>
    </row>
    <row r="285" spans="1:7" x14ac:dyDescent="0.2">
      <c r="A285" s="1" t="s">
        <v>148</v>
      </c>
      <c r="B285" s="2" t="s">
        <v>16</v>
      </c>
      <c r="C285" s="2" t="s">
        <v>25</v>
      </c>
      <c r="D285" s="2" t="s">
        <v>50</v>
      </c>
      <c r="E285">
        <v>7</v>
      </c>
      <c r="F285" s="3">
        <v>1556.74</v>
      </c>
      <c r="G285" s="3">
        <f t="shared" si="4"/>
        <v>10897.18</v>
      </c>
    </row>
    <row r="286" spans="1:7" x14ac:dyDescent="0.2">
      <c r="A286" s="1" t="s">
        <v>148</v>
      </c>
      <c r="B286" s="2" t="s">
        <v>13</v>
      </c>
      <c r="C286" s="2" t="s">
        <v>9</v>
      </c>
      <c r="D286" s="2" t="s">
        <v>10</v>
      </c>
      <c r="E286">
        <v>6</v>
      </c>
      <c r="F286" s="3">
        <v>554.21</v>
      </c>
      <c r="G286" s="3">
        <f t="shared" si="4"/>
        <v>3325.26</v>
      </c>
    </row>
    <row r="287" spans="1:7" x14ac:dyDescent="0.2">
      <c r="A287" s="1" t="s">
        <v>148</v>
      </c>
      <c r="B287" s="2" t="s">
        <v>19</v>
      </c>
      <c r="C287" s="2" t="s">
        <v>9</v>
      </c>
      <c r="D287" s="2" t="s">
        <v>41</v>
      </c>
      <c r="E287">
        <v>6</v>
      </c>
      <c r="F287" s="3">
        <v>1465.82</v>
      </c>
      <c r="G287" s="3">
        <f t="shared" si="4"/>
        <v>8794.92</v>
      </c>
    </row>
    <row r="288" spans="1:7" x14ac:dyDescent="0.2">
      <c r="A288" s="1" t="s">
        <v>149</v>
      </c>
      <c r="B288" s="2" t="s">
        <v>13</v>
      </c>
      <c r="C288" s="2" t="s">
        <v>25</v>
      </c>
      <c r="D288" s="2" t="s">
        <v>45</v>
      </c>
      <c r="E288">
        <v>1</v>
      </c>
      <c r="F288" s="3">
        <v>565.14</v>
      </c>
      <c r="G288" s="3">
        <f t="shared" si="4"/>
        <v>565.14</v>
      </c>
    </row>
    <row r="289" spans="1:7" x14ac:dyDescent="0.2">
      <c r="A289" s="1" t="s">
        <v>149</v>
      </c>
      <c r="B289" s="2" t="s">
        <v>19</v>
      </c>
      <c r="C289" s="2" t="s">
        <v>25</v>
      </c>
      <c r="D289" s="2" t="s">
        <v>50</v>
      </c>
      <c r="E289">
        <v>2</v>
      </c>
      <c r="F289" s="3">
        <v>2180.5300000000002</v>
      </c>
      <c r="G289" s="3">
        <f t="shared" si="4"/>
        <v>4361.0600000000004</v>
      </c>
    </row>
    <row r="290" spans="1:7" x14ac:dyDescent="0.2">
      <c r="A290" s="1" t="s">
        <v>149</v>
      </c>
      <c r="B290" s="2" t="s">
        <v>13</v>
      </c>
      <c r="C290" s="2" t="s">
        <v>11</v>
      </c>
      <c r="D290" s="2" t="s">
        <v>48</v>
      </c>
      <c r="E290">
        <v>6</v>
      </c>
      <c r="F290" s="3">
        <v>2334.65</v>
      </c>
      <c r="G290" s="3">
        <f t="shared" si="4"/>
        <v>14007.900000000001</v>
      </c>
    </row>
    <row r="291" spans="1:7" x14ac:dyDescent="0.2">
      <c r="A291" s="1" t="s">
        <v>149</v>
      </c>
      <c r="B291" s="2" t="s">
        <v>13</v>
      </c>
      <c r="C291" s="2" t="s">
        <v>25</v>
      </c>
      <c r="D291" s="2" t="s">
        <v>64</v>
      </c>
      <c r="E291">
        <v>3</v>
      </c>
      <c r="F291" s="3">
        <v>1411.45</v>
      </c>
      <c r="G291" s="3">
        <f t="shared" si="4"/>
        <v>4234.3500000000004</v>
      </c>
    </row>
    <row r="292" spans="1:7" x14ac:dyDescent="0.2">
      <c r="A292" s="1" t="s">
        <v>149</v>
      </c>
      <c r="B292" s="2" t="s">
        <v>19</v>
      </c>
      <c r="C292" s="2" t="s">
        <v>9</v>
      </c>
      <c r="D292" s="2" t="s">
        <v>30</v>
      </c>
      <c r="E292">
        <v>3</v>
      </c>
      <c r="F292" s="3">
        <v>8822.34</v>
      </c>
      <c r="G292" s="3">
        <f t="shared" si="4"/>
        <v>26467.02</v>
      </c>
    </row>
    <row r="293" spans="1:7" x14ac:dyDescent="0.2">
      <c r="A293" s="1" t="s">
        <v>150</v>
      </c>
      <c r="B293" s="2" t="s">
        <v>8</v>
      </c>
      <c r="C293" s="2" t="s">
        <v>11</v>
      </c>
      <c r="D293" s="2" t="s">
        <v>48</v>
      </c>
      <c r="E293">
        <v>8</v>
      </c>
      <c r="F293" s="3">
        <v>3716.93</v>
      </c>
      <c r="G293" s="3">
        <f t="shared" si="4"/>
        <v>29735.439999999999</v>
      </c>
    </row>
    <row r="294" spans="1:7" x14ac:dyDescent="0.2">
      <c r="A294" s="1" t="s">
        <v>151</v>
      </c>
      <c r="B294" s="2" t="s">
        <v>16</v>
      </c>
      <c r="C294" s="2" t="s">
        <v>21</v>
      </c>
      <c r="D294" s="2" t="s">
        <v>58</v>
      </c>
      <c r="E294">
        <v>4</v>
      </c>
      <c r="F294" s="3">
        <v>2400.7600000000002</v>
      </c>
      <c r="G294" s="3">
        <f t="shared" si="4"/>
        <v>9603.0400000000009</v>
      </c>
    </row>
    <row r="295" spans="1:7" x14ac:dyDescent="0.2">
      <c r="A295" s="1" t="s">
        <v>151</v>
      </c>
      <c r="B295" s="2" t="s">
        <v>19</v>
      </c>
      <c r="C295" s="2" t="s">
        <v>25</v>
      </c>
      <c r="D295" s="2" t="s">
        <v>64</v>
      </c>
      <c r="E295">
        <v>3</v>
      </c>
      <c r="F295" s="3">
        <v>852.99</v>
      </c>
      <c r="G295" s="3">
        <f t="shared" si="4"/>
        <v>2558.9700000000003</v>
      </c>
    </row>
    <row r="296" spans="1:7" x14ac:dyDescent="0.2">
      <c r="A296" s="1" t="s">
        <v>152</v>
      </c>
      <c r="B296" s="2" t="s">
        <v>13</v>
      </c>
      <c r="C296" s="2" t="s">
        <v>9</v>
      </c>
      <c r="D296" s="2" t="s">
        <v>17</v>
      </c>
      <c r="E296">
        <v>4</v>
      </c>
      <c r="F296" s="3">
        <v>4188.55</v>
      </c>
      <c r="G296" s="3">
        <f t="shared" si="4"/>
        <v>16754.2</v>
      </c>
    </row>
    <row r="297" spans="1:7" x14ac:dyDescent="0.2">
      <c r="A297" s="1" t="s">
        <v>152</v>
      </c>
      <c r="B297" s="2" t="s">
        <v>19</v>
      </c>
      <c r="C297" s="2" t="s">
        <v>11</v>
      </c>
      <c r="D297" s="2" t="s">
        <v>31</v>
      </c>
      <c r="E297">
        <v>3</v>
      </c>
      <c r="F297" s="3">
        <v>394.18</v>
      </c>
      <c r="G297" s="3">
        <f t="shared" si="4"/>
        <v>1182.54</v>
      </c>
    </row>
    <row r="298" spans="1:7" x14ac:dyDescent="0.2">
      <c r="A298" s="1" t="s">
        <v>152</v>
      </c>
      <c r="B298" s="2" t="s">
        <v>19</v>
      </c>
      <c r="C298" s="2" t="s">
        <v>25</v>
      </c>
      <c r="D298" s="2" t="s">
        <v>64</v>
      </c>
      <c r="E298">
        <v>7</v>
      </c>
      <c r="F298" s="3">
        <v>796.28</v>
      </c>
      <c r="G298" s="3">
        <f t="shared" si="4"/>
        <v>5573.96</v>
      </c>
    </row>
    <row r="299" spans="1:7" x14ac:dyDescent="0.2">
      <c r="A299" s="1" t="s">
        <v>152</v>
      </c>
      <c r="B299" s="2" t="s">
        <v>8</v>
      </c>
      <c r="C299" s="2" t="s">
        <v>9</v>
      </c>
      <c r="D299" s="2" t="s">
        <v>41</v>
      </c>
      <c r="E299">
        <v>6</v>
      </c>
      <c r="F299" s="3">
        <v>2290.56</v>
      </c>
      <c r="G299" s="3">
        <f t="shared" si="4"/>
        <v>13743.36</v>
      </c>
    </row>
    <row r="300" spans="1:7" x14ac:dyDescent="0.2">
      <c r="A300" s="1" t="s">
        <v>152</v>
      </c>
      <c r="B300" s="2" t="s">
        <v>8</v>
      </c>
      <c r="C300" s="2" t="s">
        <v>11</v>
      </c>
      <c r="D300" s="2" t="s">
        <v>12</v>
      </c>
      <c r="E300">
        <v>7</v>
      </c>
      <c r="F300" s="3">
        <v>1728.32</v>
      </c>
      <c r="G300" s="3">
        <f t="shared" si="4"/>
        <v>12098.24</v>
      </c>
    </row>
    <row r="301" spans="1:7" x14ac:dyDescent="0.2">
      <c r="A301" s="1" t="s">
        <v>153</v>
      </c>
      <c r="B301" s="2" t="s">
        <v>8</v>
      </c>
      <c r="C301" s="2" t="s">
        <v>21</v>
      </c>
      <c r="D301" s="2" t="s">
        <v>27</v>
      </c>
      <c r="E301">
        <v>9</v>
      </c>
      <c r="F301" s="3">
        <v>1500.82</v>
      </c>
      <c r="G301" s="3">
        <f t="shared" si="4"/>
        <v>13507.38</v>
      </c>
    </row>
    <row r="302" spans="1:7" x14ac:dyDescent="0.2">
      <c r="A302" s="1" t="s">
        <v>153</v>
      </c>
      <c r="B302" s="2" t="s">
        <v>16</v>
      </c>
      <c r="C302" s="2" t="s">
        <v>21</v>
      </c>
      <c r="D302" s="2" t="s">
        <v>22</v>
      </c>
      <c r="E302">
        <v>4</v>
      </c>
      <c r="F302" s="3">
        <v>1242.99</v>
      </c>
      <c r="G302" s="3">
        <f t="shared" si="4"/>
        <v>4971.96</v>
      </c>
    </row>
    <row r="303" spans="1:7" x14ac:dyDescent="0.2">
      <c r="A303" s="1" t="s">
        <v>153</v>
      </c>
      <c r="B303" s="2" t="s">
        <v>8</v>
      </c>
      <c r="C303" s="2" t="s">
        <v>25</v>
      </c>
      <c r="D303" s="2" t="s">
        <v>26</v>
      </c>
      <c r="E303">
        <v>2</v>
      </c>
      <c r="F303" s="3">
        <v>1643</v>
      </c>
      <c r="G303" s="3">
        <f t="shared" si="4"/>
        <v>3286</v>
      </c>
    </row>
    <row r="304" spans="1:7" x14ac:dyDescent="0.2">
      <c r="A304" s="1" t="s">
        <v>153</v>
      </c>
      <c r="B304" s="2" t="s">
        <v>8</v>
      </c>
      <c r="C304" s="2" t="s">
        <v>21</v>
      </c>
      <c r="D304" s="2" t="s">
        <v>27</v>
      </c>
      <c r="E304">
        <v>7</v>
      </c>
      <c r="F304" s="3">
        <v>1534.17</v>
      </c>
      <c r="G304" s="3">
        <f t="shared" si="4"/>
        <v>10739.19</v>
      </c>
    </row>
    <row r="305" spans="1:7" x14ac:dyDescent="0.2">
      <c r="A305" s="1" t="s">
        <v>153</v>
      </c>
      <c r="B305" s="2" t="s">
        <v>19</v>
      </c>
      <c r="C305" s="2" t="s">
        <v>25</v>
      </c>
      <c r="D305" s="2" t="s">
        <v>26</v>
      </c>
      <c r="E305">
        <v>6</v>
      </c>
      <c r="F305" s="3">
        <v>1093.25</v>
      </c>
      <c r="G305" s="3">
        <f t="shared" si="4"/>
        <v>6559.5</v>
      </c>
    </row>
    <row r="306" spans="1:7" x14ac:dyDescent="0.2">
      <c r="A306" s="1" t="s">
        <v>153</v>
      </c>
      <c r="B306" s="2" t="s">
        <v>16</v>
      </c>
      <c r="C306" s="2" t="s">
        <v>11</v>
      </c>
      <c r="D306" s="2" t="s">
        <v>14</v>
      </c>
      <c r="E306">
        <v>2</v>
      </c>
      <c r="F306" s="3">
        <v>1413.44</v>
      </c>
      <c r="G306" s="3">
        <f t="shared" si="4"/>
        <v>2826.88</v>
      </c>
    </row>
    <row r="307" spans="1:7" x14ac:dyDescent="0.2">
      <c r="A307" s="1" t="s">
        <v>154</v>
      </c>
      <c r="B307" s="2" t="s">
        <v>8</v>
      </c>
      <c r="C307" s="2" t="s">
        <v>25</v>
      </c>
      <c r="D307" s="2" t="s">
        <v>36</v>
      </c>
      <c r="E307">
        <v>5</v>
      </c>
      <c r="F307" s="3">
        <v>592.4</v>
      </c>
      <c r="G307" s="3">
        <f t="shared" si="4"/>
        <v>2962</v>
      </c>
    </row>
    <row r="308" spans="1:7" x14ac:dyDescent="0.2">
      <c r="A308" s="1" t="s">
        <v>154</v>
      </c>
      <c r="B308" s="2" t="s">
        <v>19</v>
      </c>
      <c r="C308" s="2" t="s">
        <v>21</v>
      </c>
      <c r="D308" s="2" t="s">
        <v>27</v>
      </c>
      <c r="E308">
        <v>4</v>
      </c>
      <c r="F308" s="3">
        <v>1388.46</v>
      </c>
      <c r="G308" s="3">
        <f t="shared" si="4"/>
        <v>5553.84</v>
      </c>
    </row>
    <row r="309" spans="1:7" x14ac:dyDescent="0.2">
      <c r="A309" s="1" t="s">
        <v>155</v>
      </c>
      <c r="B309" s="2" t="s">
        <v>8</v>
      </c>
      <c r="C309" s="2" t="s">
        <v>25</v>
      </c>
      <c r="D309" s="2" t="s">
        <v>50</v>
      </c>
      <c r="E309">
        <v>1</v>
      </c>
      <c r="F309" s="3">
        <v>1891.45</v>
      </c>
      <c r="G309" s="3">
        <f t="shared" si="4"/>
        <v>1891.45</v>
      </c>
    </row>
    <row r="310" spans="1:7" x14ac:dyDescent="0.2">
      <c r="A310" s="1" t="s">
        <v>156</v>
      </c>
      <c r="B310" s="2" t="s">
        <v>8</v>
      </c>
      <c r="C310" s="2" t="s">
        <v>9</v>
      </c>
      <c r="D310" s="2" t="s">
        <v>10</v>
      </c>
      <c r="E310">
        <v>9</v>
      </c>
      <c r="F310" s="3">
        <v>773.51</v>
      </c>
      <c r="G310" s="3">
        <f t="shared" si="4"/>
        <v>6961.59</v>
      </c>
    </row>
    <row r="311" spans="1:7" x14ac:dyDescent="0.2">
      <c r="A311" s="1" t="s">
        <v>156</v>
      </c>
      <c r="B311" s="2" t="s">
        <v>16</v>
      </c>
      <c r="C311" s="2" t="s">
        <v>25</v>
      </c>
      <c r="D311" s="2" t="s">
        <v>50</v>
      </c>
      <c r="E311">
        <v>2</v>
      </c>
      <c r="F311" s="3">
        <v>1868.25</v>
      </c>
      <c r="G311" s="3">
        <f t="shared" si="4"/>
        <v>3736.5</v>
      </c>
    </row>
    <row r="312" spans="1:7" x14ac:dyDescent="0.2">
      <c r="A312" s="1" t="s">
        <v>156</v>
      </c>
      <c r="B312" s="2" t="s">
        <v>13</v>
      </c>
      <c r="C312" s="2" t="s">
        <v>9</v>
      </c>
      <c r="D312" s="2" t="s">
        <v>30</v>
      </c>
      <c r="E312">
        <v>7</v>
      </c>
      <c r="F312" s="3">
        <v>4500.88</v>
      </c>
      <c r="G312" s="3">
        <f t="shared" si="4"/>
        <v>31506.16</v>
      </c>
    </row>
    <row r="313" spans="1:7" x14ac:dyDescent="0.2">
      <c r="A313" s="1" t="s">
        <v>157</v>
      </c>
      <c r="B313" s="2" t="s">
        <v>8</v>
      </c>
      <c r="C313" s="2" t="s">
        <v>11</v>
      </c>
      <c r="D313" s="2" t="s">
        <v>14</v>
      </c>
      <c r="E313">
        <v>6</v>
      </c>
      <c r="F313" s="3">
        <v>1559.64</v>
      </c>
      <c r="G313" s="3">
        <f t="shared" si="4"/>
        <v>9357.84</v>
      </c>
    </row>
    <row r="314" spans="1:7" x14ac:dyDescent="0.2">
      <c r="A314" s="1" t="s">
        <v>157</v>
      </c>
      <c r="B314" s="2" t="s">
        <v>8</v>
      </c>
      <c r="C314" s="2" t="s">
        <v>9</v>
      </c>
      <c r="D314" s="2" t="s">
        <v>41</v>
      </c>
      <c r="E314">
        <v>8</v>
      </c>
      <c r="F314" s="3">
        <v>1972.88</v>
      </c>
      <c r="G314" s="3">
        <f t="shared" si="4"/>
        <v>15783.04</v>
      </c>
    </row>
    <row r="315" spans="1:7" x14ac:dyDescent="0.2">
      <c r="A315" s="1" t="s">
        <v>157</v>
      </c>
      <c r="B315" s="2" t="s">
        <v>19</v>
      </c>
      <c r="C315" s="2" t="s">
        <v>21</v>
      </c>
      <c r="D315" s="2" t="s">
        <v>27</v>
      </c>
      <c r="E315">
        <v>3</v>
      </c>
      <c r="F315" s="3">
        <v>1509.22</v>
      </c>
      <c r="G315" s="3">
        <f t="shared" si="4"/>
        <v>4527.66</v>
      </c>
    </row>
    <row r="316" spans="1:7" x14ac:dyDescent="0.2">
      <c r="A316" s="1" t="s">
        <v>158</v>
      </c>
      <c r="B316" s="2" t="s">
        <v>16</v>
      </c>
      <c r="C316" s="2" t="s">
        <v>11</v>
      </c>
      <c r="D316" s="2" t="s">
        <v>31</v>
      </c>
      <c r="E316">
        <v>8</v>
      </c>
      <c r="F316" s="3">
        <v>544.58000000000004</v>
      </c>
      <c r="G316" s="3">
        <f t="shared" si="4"/>
        <v>4356.6400000000003</v>
      </c>
    </row>
    <row r="317" spans="1:7" x14ac:dyDescent="0.2">
      <c r="A317" s="1" t="s">
        <v>159</v>
      </c>
      <c r="B317" s="2" t="s">
        <v>19</v>
      </c>
      <c r="C317" s="2" t="s">
        <v>11</v>
      </c>
      <c r="D317" s="2" t="s">
        <v>12</v>
      </c>
      <c r="E317">
        <v>6</v>
      </c>
      <c r="F317" s="3">
        <v>2453.54</v>
      </c>
      <c r="G317" s="3">
        <f t="shared" si="4"/>
        <v>14721.24</v>
      </c>
    </row>
    <row r="318" spans="1:7" x14ac:dyDescent="0.2">
      <c r="A318" s="1" t="s">
        <v>159</v>
      </c>
      <c r="B318" s="2" t="s">
        <v>13</v>
      </c>
      <c r="C318" s="2" t="s">
        <v>21</v>
      </c>
      <c r="D318" s="2" t="s">
        <v>27</v>
      </c>
      <c r="E318">
        <v>6</v>
      </c>
      <c r="F318" s="3">
        <v>949.9</v>
      </c>
      <c r="G318" s="3">
        <f t="shared" si="4"/>
        <v>5699.4</v>
      </c>
    </row>
    <row r="319" spans="1:7" x14ac:dyDescent="0.2">
      <c r="A319" s="1" t="s">
        <v>159</v>
      </c>
      <c r="B319" s="2" t="s">
        <v>19</v>
      </c>
      <c r="C319" s="2" t="s">
        <v>11</v>
      </c>
      <c r="D319" s="2" t="s">
        <v>12</v>
      </c>
      <c r="E319">
        <v>5</v>
      </c>
      <c r="F319" s="3">
        <v>2499.0500000000002</v>
      </c>
      <c r="G319" s="3">
        <f t="shared" si="4"/>
        <v>12495.25</v>
      </c>
    </row>
    <row r="320" spans="1:7" x14ac:dyDescent="0.2">
      <c r="A320" s="1" t="s">
        <v>159</v>
      </c>
      <c r="B320" s="2" t="s">
        <v>8</v>
      </c>
      <c r="C320" s="2" t="s">
        <v>11</v>
      </c>
      <c r="D320" s="2" t="s">
        <v>14</v>
      </c>
      <c r="E320">
        <v>7</v>
      </c>
      <c r="F320" s="3">
        <v>968.43</v>
      </c>
      <c r="G320" s="3">
        <f t="shared" si="4"/>
        <v>6779.0099999999993</v>
      </c>
    </row>
    <row r="321" spans="1:7" x14ac:dyDescent="0.2">
      <c r="A321" s="1" t="s">
        <v>160</v>
      </c>
      <c r="B321" s="2" t="s">
        <v>19</v>
      </c>
      <c r="C321" s="2" t="s">
        <v>21</v>
      </c>
      <c r="D321" s="2" t="s">
        <v>37</v>
      </c>
      <c r="E321">
        <v>5</v>
      </c>
      <c r="F321" s="3">
        <v>2819.96</v>
      </c>
      <c r="G321" s="3">
        <f t="shared" si="4"/>
        <v>14099.8</v>
      </c>
    </row>
    <row r="322" spans="1:7" x14ac:dyDescent="0.2">
      <c r="A322" s="1" t="s">
        <v>160</v>
      </c>
      <c r="B322" s="2" t="s">
        <v>19</v>
      </c>
      <c r="C322" s="2" t="s">
        <v>25</v>
      </c>
      <c r="D322" s="2" t="s">
        <v>45</v>
      </c>
      <c r="E322">
        <v>7</v>
      </c>
      <c r="F322" s="3">
        <v>526.23</v>
      </c>
      <c r="G322" s="3">
        <f t="shared" ref="G322:G385" si="5">E322*F322</f>
        <v>3683.61</v>
      </c>
    </row>
    <row r="323" spans="1:7" x14ac:dyDescent="0.2">
      <c r="A323" s="1" t="s">
        <v>160</v>
      </c>
      <c r="B323" s="2" t="s">
        <v>8</v>
      </c>
      <c r="C323" s="2" t="s">
        <v>11</v>
      </c>
      <c r="D323" s="2" t="s">
        <v>20</v>
      </c>
      <c r="E323">
        <v>5</v>
      </c>
      <c r="F323" s="3">
        <v>1001.8</v>
      </c>
      <c r="G323" s="3">
        <f t="shared" si="5"/>
        <v>5009</v>
      </c>
    </row>
    <row r="324" spans="1:7" x14ac:dyDescent="0.2">
      <c r="A324" s="1" t="s">
        <v>161</v>
      </c>
      <c r="B324" s="2" t="s">
        <v>19</v>
      </c>
      <c r="C324" s="2" t="s">
        <v>25</v>
      </c>
      <c r="D324" s="2" t="s">
        <v>26</v>
      </c>
      <c r="E324">
        <v>2</v>
      </c>
      <c r="F324" s="3">
        <v>1046.29</v>
      </c>
      <c r="G324" s="3">
        <f t="shared" si="5"/>
        <v>2092.58</v>
      </c>
    </row>
    <row r="325" spans="1:7" x14ac:dyDescent="0.2">
      <c r="A325" s="1" t="s">
        <v>162</v>
      </c>
      <c r="B325" s="2" t="s">
        <v>13</v>
      </c>
      <c r="C325" s="2" t="s">
        <v>9</v>
      </c>
      <c r="D325" s="2" t="s">
        <v>10</v>
      </c>
      <c r="E325">
        <v>2</v>
      </c>
      <c r="F325" s="3">
        <v>483.6</v>
      </c>
      <c r="G325" s="3">
        <f t="shared" si="5"/>
        <v>967.2</v>
      </c>
    </row>
    <row r="326" spans="1:7" x14ac:dyDescent="0.2">
      <c r="A326" s="1" t="s">
        <v>162</v>
      </c>
      <c r="B326" s="2" t="s">
        <v>16</v>
      </c>
      <c r="C326" s="2" t="s">
        <v>21</v>
      </c>
      <c r="D326" s="2" t="s">
        <v>28</v>
      </c>
      <c r="E326">
        <v>2</v>
      </c>
      <c r="F326" s="3">
        <v>2842.83</v>
      </c>
      <c r="G326" s="3">
        <f t="shared" si="5"/>
        <v>5685.66</v>
      </c>
    </row>
    <row r="327" spans="1:7" x14ac:dyDescent="0.2">
      <c r="A327" s="1" t="s">
        <v>163</v>
      </c>
      <c r="B327" s="2" t="s">
        <v>8</v>
      </c>
      <c r="C327" s="2" t="s">
        <v>25</v>
      </c>
      <c r="D327" s="2" t="s">
        <v>45</v>
      </c>
      <c r="E327">
        <v>7</v>
      </c>
      <c r="F327" s="3">
        <v>968.21</v>
      </c>
      <c r="G327" s="3">
        <f t="shared" si="5"/>
        <v>6777.47</v>
      </c>
    </row>
    <row r="328" spans="1:7" x14ac:dyDescent="0.2">
      <c r="A328" s="1" t="s">
        <v>163</v>
      </c>
      <c r="B328" s="2" t="s">
        <v>13</v>
      </c>
      <c r="C328" s="2" t="s">
        <v>25</v>
      </c>
      <c r="D328" s="2" t="s">
        <v>45</v>
      </c>
      <c r="E328">
        <v>8</v>
      </c>
      <c r="F328" s="3">
        <v>789.93</v>
      </c>
      <c r="G328" s="3">
        <f t="shared" si="5"/>
        <v>6319.44</v>
      </c>
    </row>
    <row r="329" spans="1:7" x14ac:dyDescent="0.2">
      <c r="A329" s="1" t="s">
        <v>163</v>
      </c>
      <c r="B329" s="2" t="s">
        <v>13</v>
      </c>
      <c r="C329" s="2" t="s">
        <v>25</v>
      </c>
      <c r="D329" s="2" t="s">
        <v>50</v>
      </c>
      <c r="E329">
        <v>3</v>
      </c>
      <c r="F329" s="3">
        <v>1564.52</v>
      </c>
      <c r="G329" s="3">
        <f t="shared" si="5"/>
        <v>4693.5599999999995</v>
      </c>
    </row>
    <row r="330" spans="1:7" x14ac:dyDescent="0.2">
      <c r="A330" s="1" t="s">
        <v>164</v>
      </c>
      <c r="B330" s="2" t="s">
        <v>16</v>
      </c>
      <c r="C330" s="2" t="s">
        <v>9</v>
      </c>
      <c r="D330" s="2" t="s">
        <v>30</v>
      </c>
      <c r="E330">
        <v>5</v>
      </c>
      <c r="F330" s="3">
        <v>6541.72</v>
      </c>
      <c r="G330" s="3">
        <f t="shared" si="5"/>
        <v>32708.600000000002</v>
      </c>
    </row>
    <row r="331" spans="1:7" x14ac:dyDescent="0.2">
      <c r="A331" s="1" t="s">
        <v>164</v>
      </c>
      <c r="B331" s="2" t="s">
        <v>19</v>
      </c>
      <c r="C331" s="2" t="s">
        <v>9</v>
      </c>
      <c r="D331" s="2" t="s">
        <v>41</v>
      </c>
      <c r="E331">
        <v>6</v>
      </c>
      <c r="F331" s="3">
        <v>2454.06</v>
      </c>
      <c r="G331" s="3">
        <f t="shared" si="5"/>
        <v>14724.36</v>
      </c>
    </row>
    <row r="332" spans="1:7" x14ac:dyDescent="0.2">
      <c r="A332" s="1" t="s">
        <v>164</v>
      </c>
      <c r="B332" s="2" t="s">
        <v>13</v>
      </c>
      <c r="C332" s="2" t="s">
        <v>9</v>
      </c>
      <c r="D332" s="2" t="s">
        <v>30</v>
      </c>
      <c r="E332">
        <v>2</v>
      </c>
      <c r="F332" s="3">
        <v>7565.28</v>
      </c>
      <c r="G332" s="3">
        <f t="shared" si="5"/>
        <v>15130.56</v>
      </c>
    </row>
    <row r="333" spans="1:7" x14ac:dyDescent="0.2">
      <c r="A333" s="1" t="s">
        <v>165</v>
      </c>
      <c r="B333" s="2" t="s">
        <v>16</v>
      </c>
      <c r="C333" s="2" t="s">
        <v>11</v>
      </c>
      <c r="D333" s="2" t="s">
        <v>31</v>
      </c>
      <c r="E333">
        <v>8</v>
      </c>
      <c r="F333" s="3">
        <v>382.09</v>
      </c>
      <c r="G333" s="3">
        <f t="shared" si="5"/>
        <v>3056.72</v>
      </c>
    </row>
    <row r="334" spans="1:7" x14ac:dyDescent="0.2">
      <c r="A334" s="1" t="s">
        <v>165</v>
      </c>
      <c r="B334" s="2" t="s">
        <v>13</v>
      </c>
      <c r="C334" s="2" t="s">
        <v>25</v>
      </c>
      <c r="D334" s="2" t="s">
        <v>26</v>
      </c>
      <c r="E334">
        <v>2</v>
      </c>
      <c r="F334" s="3">
        <v>1369.46</v>
      </c>
      <c r="G334" s="3">
        <f t="shared" si="5"/>
        <v>2738.92</v>
      </c>
    </row>
    <row r="335" spans="1:7" x14ac:dyDescent="0.2">
      <c r="A335" s="1" t="s">
        <v>165</v>
      </c>
      <c r="B335" s="2" t="s">
        <v>16</v>
      </c>
      <c r="C335" s="2" t="s">
        <v>25</v>
      </c>
      <c r="D335" s="2" t="s">
        <v>36</v>
      </c>
      <c r="E335">
        <v>7</v>
      </c>
      <c r="F335" s="3">
        <v>456.26</v>
      </c>
      <c r="G335" s="3">
        <f t="shared" si="5"/>
        <v>3193.8199999999997</v>
      </c>
    </row>
    <row r="336" spans="1:7" x14ac:dyDescent="0.2">
      <c r="A336" s="1" t="s">
        <v>165</v>
      </c>
      <c r="B336" s="2" t="s">
        <v>19</v>
      </c>
      <c r="C336" s="2" t="s">
        <v>25</v>
      </c>
      <c r="D336" s="2" t="s">
        <v>50</v>
      </c>
      <c r="E336">
        <v>6</v>
      </c>
      <c r="F336" s="3">
        <v>1550.42</v>
      </c>
      <c r="G336" s="3">
        <f t="shared" si="5"/>
        <v>9302.52</v>
      </c>
    </row>
    <row r="337" spans="1:7" x14ac:dyDescent="0.2">
      <c r="A337" s="1" t="s">
        <v>165</v>
      </c>
      <c r="B337" s="2" t="s">
        <v>8</v>
      </c>
      <c r="C337" s="2" t="s">
        <v>9</v>
      </c>
      <c r="D337" s="2" t="s">
        <v>10</v>
      </c>
      <c r="E337">
        <v>5</v>
      </c>
      <c r="F337" s="3">
        <v>849.84</v>
      </c>
      <c r="G337" s="3">
        <f t="shared" si="5"/>
        <v>4249.2</v>
      </c>
    </row>
    <row r="338" spans="1:7" x14ac:dyDescent="0.2">
      <c r="A338" s="1" t="s">
        <v>165</v>
      </c>
      <c r="B338" s="2" t="s">
        <v>16</v>
      </c>
      <c r="C338" s="2" t="s">
        <v>11</v>
      </c>
      <c r="D338" s="2" t="s">
        <v>48</v>
      </c>
      <c r="E338">
        <v>8</v>
      </c>
      <c r="F338" s="3">
        <v>3659.43</v>
      </c>
      <c r="G338" s="3">
        <f t="shared" si="5"/>
        <v>29275.439999999999</v>
      </c>
    </row>
    <row r="339" spans="1:7" x14ac:dyDescent="0.2">
      <c r="A339" s="1" t="s">
        <v>166</v>
      </c>
      <c r="B339" s="2" t="s">
        <v>16</v>
      </c>
      <c r="C339" s="2" t="s">
        <v>11</v>
      </c>
      <c r="D339" s="2" t="s">
        <v>12</v>
      </c>
      <c r="E339">
        <v>1</v>
      </c>
      <c r="F339" s="3">
        <v>2535.29</v>
      </c>
      <c r="G339" s="3">
        <f t="shared" si="5"/>
        <v>2535.29</v>
      </c>
    </row>
    <row r="340" spans="1:7" x14ac:dyDescent="0.2">
      <c r="A340" s="1" t="s">
        <v>166</v>
      </c>
      <c r="B340" s="2" t="s">
        <v>16</v>
      </c>
      <c r="C340" s="2" t="s">
        <v>9</v>
      </c>
      <c r="D340" s="2" t="s">
        <v>43</v>
      </c>
      <c r="E340">
        <v>5</v>
      </c>
      <c r="F340" s="3">
        <v>1139.82</v>
      </c>
      <c r="G340" s="3">
        <f t="shared" si="5"/>
        <v>5699.0999999999995</v>
      </c>
    </row>
    <row r="341" spans="1:7" x14ac:dyDescent="0.2">
      <c r="A341" s="1" t="s">
        <v>166</v>
      </c>
      <c r="B341" s="2" t="s">
        <v>16</v>
      </c>
      <c r="C341" s="2" t="s">
        <v>9</v>
      </c>
      <c r="D341" s="2" t="s">
        <v>30</v>
      </c>
      <c r="E341">
        <v>6</v>
      </c>
      <c r="F341" s="3">
        <v>7118.8</v>
      </c>
      <c r="G341" s="3">
        <f t="shared" si="5"/>
        <v>42712.800000000003</v>
      </c>
    </row>
    <row r="342" spans="1:7" x14ac:dyDescent="0.2">
      <c r="A342" s="1" t="s">
        <v>167</v>
      </c>
      <c r="B342" s="2" t="s">
        <v>16</v>
      </c>
      <c r="C342" s="2" t="s">
        <v>21</v>
      </c>
      <c r="D342" s="2" t="s">
        <v>28</v>
      </c>
      <c r="E342">
        <v>6</v>
      </c>
      <c r="F342" s="3">
        <v>2562.63</v>
      </c>
      <c r="G342" s="3">
        <f t="shared" si="5"/>
        <v>15375.78</v>
      </c>
    </row>
    <row r="343" spans="1:7" x14ac:dyDescent="0.2">
      <c r="A343" s="1" t="s">
        <v>168</v>
      </c>
      <c r="B343" s="2" t="s">
        <v>13</v>
      </c>
      <c r="C343" s="2" t="s">
        <v>25</v>
      </c>
      <c r="D343" s="2" t="s">
        <v>64</v>
      </c>
      <c r="E343">
        <v>3</v>
      </c>
      <c r="F343" s="3">
        <v>1435.2</v>
      </c>
      <c r="G343" s="3">
        <f t="shared" si="5"/>
        <v>4305.6000000000004</v>
      </c>
    </row>
    <row r="344" spans="1:7" x14ac:dyDescent="0.2">
      <c r="A344" s="1" t="s">
        <v>168</v>
      </c>
      <c r="B344" s="2" t="s">
        <v>16</v>
      </c>
      <c r="C344" s="2" t="s">
        <v>25</v>
      </c>
      <c r="D344" s="2" t="s">
        <v>64</v>
      </c>
      <c r="E344">
        <v>8</v>
      </c>
      <c r="F344" s="3">
        <v>957.17</v>
      </c>
      <c r="G344" s="3">
        <f t="shared" si="5"/>
        <v>7657.36</v>
      </c>
    </row>
    <row r="345" spans="1:7" x14ac:dyDescent="0.2">
      <c r="A345" s="1" t="s">
        <v>168</v>
      </c>
      <c r="B345" s="2" t="s">
        <v>13</v>
      </c>
      <c r="C345" s="2" t="s">
        <v>25</v>
      </c>
      <c r="D345" s="2" t="s">
        <v>45</v>
      </c>
      <c r="E345">
        <v>1</v>
      </c>
      <c r="F345" s="3">
        <v>831.79</v>
      </c>
      <c r="G345" s="3">
        <f t="shared" si="5"/>
        <v>831.79</v>
      </c>
    </row>
    <row r="346" spans="1:7" x14ac:dyDescent="0.2">
      <c r="A346" s="1" t="s">
        <v>169</v>
      </c>
      <c r="B346" s="2" t="s">
        <v>16</v>
      </c>
      <c r="C346" s="2" t="s">
        <v>9</v>
      </c>
      <c r="D346" s="2" t="s">
        <v>41</v>
      </c>
      <c r="E346">
        <v>4</v>
      </c>
      <c r="F346" s="3">
        <v>2141.91</v>
      </c>
      <c r="G346" s="3">
        <f t="shared" si="5"/>
        <v>8567.64</v>
      </c>
    </row>
    <row r="347" spans="1:7" x14ac:dyDescent="0.2">
      <c r="A347" s="1" t="s">
        <v>169</v>
      </c>
      <c r="B347" s="2" t="s">
        <v>19</v>
      </c>
      <c r="C347" s="2" t="s">
        <v>9</v>
      </c>
      <c r="D347" s="2" t="s">
        <v>10</v>
      </c>
      <c r="E347">
        <v>7</v>
      </c>
      <c r="F347" s="3">
        <v>787.37</v>
      </c>
      <c r="G347" s="3">
        <f t="shared" si="5"/>
        <v>5511.59</v>
      </c>
    </row>
    <row r="348" spans="1:7" x14ac:dyDescent="0.2">
      <c r="A348" s="1" t="s">
        <v>170</v>
      </c>
      <c r="B348" s="2" t="s">
        <v>8</v>
      </c>
      <c r="C348" s="2" t="s">
        <v>25</v>
      </c>
      <c r="D348" s="2" t="s">
        <v>50</v>
      </c>
      <c r="E348">
        <v>2</v>
      </c>
      <c r="F348" s="3">
        <v>2087.66</v>
      </c>
      <c r="G348" s="3">
        <f t="shared" si="5"/>
        <v>4175.32</v>
      </c>
    </row>
    <row r="349" spans="1:7" x14ac:dyDescent="0.2">
      <c r="A349" s="1" t="s">
        <v>171</v>
      </c>
      <c r="B349" s="2" t="s">
        <v>8</v>
      </c>
      <c r="C349" s="2" t="s">
        <v>11</v>
      </c>
      <c r="D349" s="2" t="s">
        <v>14</v>
      </c>
      <c r="E349">
        <v>5</v>
      </c>
      <c r="F349" s="3">
        <v>1277.8399999999999</v>
      </c>
      <c r="G349" s="3">
        <f t="shared" si="5"/>
        <v>6389.2</v>
      </c>
    </row>
    <row r="350" spans="1:7" x14ac:dyDescent="0.2">
      <c r="A350" s="1" t="s">
        <v>171</v>
      </c>
      <c r="B350" s="2" t="s">
        <v>13</v>
      </c>
      <c r="C350" s="2" t="s">
        <v>21</v>
      </c>
      <c r="D350" s="2" t="s">
        <v>27</v>
      </c>
      <c r="E350">
        <v>5</v>
      </c>
      <c r="F350" s="3">
        <v>1642.78</v>
      </c>
      <c r="G350" s="3">
        <f t="shared" si="5"/>
        <v>8213.9</v>
      </c>
    </row>
    <row r="351" spans="1:7" x14ac:dyDescent="0.2">
      <c r="A351" s="1" t="s">
        <v>172</v>
      </c>
      <c r="B351" s="2" t="s">
        <v>13</v>
      </c>
      <c r="C351" s="2" t="s">
        <v>25</v>
      </c>
      <c r="D351" s="2" t="s">
        <v>64</v>
      </c>
      <c r="E351">
        <v>3</v>
      </c>
      <c r="F351" s="3">
        <v>1432.13</v>
      </c>
      <c r="G351" s="3">
        <f t="shared" si="5"/>
        <v>4296.3900000000003</v>
      </c>
    </row>
    <row r="352" spans="1:7" x14ac:dyDescent="0.2">
      <c r="A352" s="1" t="s">
        <v>172</v>
      </c>
      <c r="B352" s="2" t="s">
        <v>8</v>
      </c>
      <c r="C352" s="2" t="s">
        <v>25</v>
      </c>
      <c r="D352" s="2" t="s">
        <v>50</v>
      </c>
      <c r="E352">
        <v>2</v>
      </c>
      <c r="F352" s="3">
        <v>2118.61</v>
      </c>
      <c r="G352" s="3">
        <f t="shared" si="5"/>
        <v>4237.22</v>
      </c>
    </row>
    <row r="353" spans="1:7" x14ac:dyDescent="0.2">
      <c r="A353" s="1" t="s">
        <v>173</v>
      </c>
      <c r="B353" s="2" t="s">
        <v>16</v>
      </c>
      <c r="C353" s="2" t="s">
        <v>25</v>
      </c>
      <c r="D353" s="2" t="s">
        <v>64</v>
      </c>
      <c r="E353">
        <v>6</v>
      </c>
      <c r="F353" s="3">
        <v>1038.45</v>
      </c>
      <c r="G353" s="3">
        <f t="shared" si="5"/>
        <v>6230.7000000000007</v>
      </c>
    </row>
    <row r="354" spans="1:7" x14ac:dyDescent="0.2">
      <c r="A354" s="1" t="s">
        <v>173</v>
      </c>
      <c r="B354" s="2" t="s">
        <v>19</v>
      </c>
      <c r="C354" s="2" t="s">
        <v>9</v>
      </c>
      <c r="D354" s="2" t="s">
        <v>17</v>
      </c>
      <c r="E354">
        <v>4</v>
      </c>
      <c r="F354" s="3">
        <v>6395.69</v>
      </c>
      <c r="G354" s="3">
        <f t="shared" si="5"/>
        <v>25582.76</v>
      </c>
    </row>
    <row r="355" spans="1:7" x14ac:dyDescent="0.2">
      <c r="A355" s="1" t="s">
        <v>174</v>
      </c>
      <c r="B355" s="2" t="s">
        <v>19</v>
      </c>
      <c r="C355" s="2" t="s">
        <v>11</v>
      </c>
      <c r="D355" s="2" t="s">
        <v>31</v>
      </c>
      <c r="E355">
        <v>1</v>
      </c>
      <c r="F355" s="3">
        <v>611.79</v>
      </c>
      <c r="G355" s="3">
        <f t="shared" si="5"/>
        <v>611.79</v>
      </c>
    </row>
    <row r="356" spans="1:7" x14ac:dyDescent="0.2">
      <c r="A356" s="1" t="s">
        <v>174</v>
      </c>
      <c r="B356" s="2" t="s">
        <v>8</v>
      </c>
      <c r="C356" s="2" t="s">
        <v>9</v>
      </c>
      <c r="D356" s="2" t="s">
        <v>30</v>
      </c>
      <c r="E356">
        <v>3</v>
      </c>
      <c r="F356" s="3">
        <v>8039.31</v>
      </c>
      <c r="G356" s="3">
        <f t="shared" si="5"/>
        <v>24117.93</v>
      </c>
    </row>
    <row r="357" spans="1:7" x14ac:dyDescent="0.2">
      <c r="A357" s="1" t="s">
        <v>174</v>
      </c>
      <c r="B357" s="2" t="s">
        <v>13</v>
      </c>
      <c r="C357" s="2" t="s">
        <v>9</v>
      </c>
      <c r="D357" s="2" t="s">
        <v>41</v>
      </c>
      <c r="E357">
        <v>2</v>
      </c>
      <c r="F357" s="3">
        <v>1397.06</v>
      </c>
      <c r="G357" s="3">
        <f t="shared" si="5"/>
        <v>2794.12</v>
      </c>
    </row>
    <row r="358" spans="1:7" x14ac:dyDescent="0.2">
      <c r="A358" s="1" t="s">
        <v>174</v>
      </c>
      <c r="B358" s="2" t="s">
        <v>13</v>
      </c>
      <c r="C358" s="2" t="s">
        <v>21</v>
      </c>
      <c r="D358" s="2" t="s">
        <v>28</v>
      </c>
      <c r="E358">
        <v>2</v>
      </c>
      <c r="F358" s="3">
        <v>3464.33</v>
      </c>
      <c r="G358" s="3">
        <f t="shared" si="5"/>
        <v>6928.66</v>
      </c>
    </row>
    <row r="359" spans="1:7" x14ac:dyDescent="0.2">
      <c r="A359" s="1" t="s">
        <v>174</v>
      </c>
      <c r="B359" s="2" t="s">
        <v>13</v>
      </c>
      <c r="C359" s="2" t="s">
        <v>9</v>
      </c>
      <c r="D359" s="2" t="s">
        <v>30</v>
      </c>
      <c r="E359">
        <v>1</v>
      </c>
      <c r="F359" s="3">
        <v>7123.61</v>
      </c>
      <c r="G359" s="3">
        <f t="shared" si="5"/>
        <v>7123.61</v>
      </c>
    </row>
    <row r="360" spans="1:7" x14ac:dyDescent="0.2">
      <c r="A360" s="1" t="s">
        <v>175</v>
      </c>
      <c r="B360" s="2" t="s">
        <v>13</v>
      </c>
      <c r="C360" s="2" t="s">
        <v>11</v>
      </c>
      <c r="D360" s="2" t="s">
        <v>20</v>
      </c>
      <c r="E360">
        <v>3</v>
      </c>
      <c r="F360" s="3">
        <v>823.63</v>
      </c>
      <c r="G360" s="3">
        <f t="shared" si="5"/>
        <v>2470.89</v>
      </c>
    </row>
    <row r="361" spans="1:7" x14ac:dyDescent="0.2">
      <c r="A361" s="1" t="s">
        <v>175</v>
      </c>
      <c r="B361" s="2" t="s">
        <v>8</v>
      </c>
      <c r="C361" s="2" t="s">
        <v>11</v>
      </c>
      <c r="D361" s="2" t="s">
        <v>31</v>
      </c>
      <c r="E361">
        <v>9</v>
      </c>
      <c r="F361" s="3">
        <v>403.76</v>
      </c>
      <c r="G361" s="3">
        <f t="shared" si="5"/>
        <v>3633.84</v>
      </c>
    </row>
    <row r="362" spans="1:7" x14ac:dyDescent="0.2">
      <c r="A362" s="1" t="s">
        <v>175</v>
      </c>
      <c r="B362" s="2" t="s">
        <v>16</v>
      </c>
      <c r="C362" s="2" t="s">
        <v>11</v>
      </c>
      <c r="D362" s="2" t="s">
        <v>14</v>
      </c>
      <c r="E362">
        <v>4</v>
      </c>
      <c r="F362" s="3">
        <v>1775.95</v>
      </c>
      <c r="G362" s="3">
        <f t="shared" si="5"/>
        <v>7103.8</v>
      </c>
    </row>
    <row r="363" spans="1:7" x14ac:dyDescent="0.2">
      <c r="A363" s="1" t="s">
        <v>176</v>
      </c>
      <c r="B363" s="2" t="s">
        <v>16</v>
      </c>
      <c r="C363" s="2" t="s">
        <v>25</v>
      </c>
      <c r="D363" s="2" t="s">
        <v>26</v>
      </c>
      <c r="E363">
        <v>3</v>
      </c>
      <c r="F363" s="3">
        <v>912.11</v>
      </c>
      <c r="G363" s="3">
        <f t="shared" si="5"/>
        <v>2736.33</v>
      </c>
    </row>
    <row r="364" spans="1:7" x14ac:dyDescent="0.2">
      <c r="A364" s="1" t="s">
        <v>176</v>
      </c>
      <c r="B364" s="2" t="s">
        <v>13</v>
      </c>
      <c r="C364" s="2" t="s">
        <v>25</v>
      </c>
      <c r="D364" s="2" t="s">
        <v>36</v>
      </c>
      <c r="E364">
        <v>2</v>
      </c>
      <c r="F364" s="3">
        <v>889.95</v>
      </c>
      <c r="G364" s="3">
        <f t="shared" si="5"/>
        <v>1779.9</v>
      </c>
    </row>
    <row r="365" spans="1:7" x14ac:dyDescent="0.2">
      <c r="A365" s="1" t="s">
        <v>176</v>
      </c>
      <c r="B365" s="2" t="s">
        <v>16</v>
      </c>
      <c r="C365" s="2" t="s">
        <v>25</v>
      </c>
      <c r="D365" s="2" t="s">
        <v>50</v>
      </c>
      <c r="E365">
        <v>10</v>
      </c>
      <c r="F365" s="3">
        <v>1813.26</v>
      </c>
      <c r="G365" s="3">
        <f t="shared" si="5"/>
        <v>18132.599999999999</v>
      </c>
    </row>
    <row r="366" spans="1:7" x14ac:dyDescent="0.2">
      <c r="A366" s="1" t="s">
        <v>176</v>
      </c>
      <c r="B366" s="2" t="s">
        <v>16</v>
      </c>
      <c r="C366" s="2" t="s">
        <v>9</v>
      </c>
      <c r="D366" s="2" t="s">
        <v>17</v>
      </c>
      <c r="E366">
        <v>1</v>
      </c>
      <c r="F366" s="3">
        <v>4634.25</v>
      </c>
      <c r="G366" s="3">
        <f t="shared" si="5"/>
        <v>4634.25</v>
      </c>
    </row>
    <row r="367" spans="1:7" x14ac:dyDescent="0.2">
      <c r="A367" s="1" t="s">
        <v>177</v>
      </c>
      <c r="B367" s="2" t="s">
        <v>16</v>
      </c>
      <c r="C367" s="2" t="s">
        <v>21</v>
      </c>
      <c r="D367" s="2" t="s">
        <v>22</v>
      </c>
      <c r="E367">
        <v>6</v>
      </c>
      <c r="F367" s="3">
        <v>1072.92</v>
      </c>
      <c r="G367" s="3">
        <f t="shared" si="5"/>
        <v>6437.52</v>
      </c>
    </row>
    <row r="368" spans="1:7" x14ac:dyDescent="0.2">
      <c r="A368" s="1" t="s">
        <v>177</v>
      </c>
      <c r="B368" s="2" t="s">
        <v>16</v>
      </c>
      <c r="C368" s="2" t="s">
        <v>21</v>
      </c>
      <c r="D368" s="2" t="s">
        <v>58</v>
      </c>
      <c r="E368">
        <v>4</v>
      </c>
      <c r="F368" s="3">
        <v>2569.15</v>
      </c>
      <c r="G368" s="3">
        <f t="shared" si="5"/>
        <v>10276.6</v>
      </c>
    </row>
    <row r="369" spans="1:7" x14ac:dyDescent="0.2">
      <c r="A369" s="1" t="s">
        <v>178</v>
      </c>
      <c r="B369" s="2" t="s">
        <v>8</v>
      </c>
      <c r="C369" s="2" t="s">
        <v>25</v>
      </c>
      <c r="D369" s="2" t="s">
        <v>36</v>
      </c>
      <c r="E369">
        <v>4</v>
      </c>
      <c r="F369" s="3">
        <v>594.32000000000005</v>
      </c>
      <c r="G369" s="3">
        <f t="shared" si="5"/>
        <v>2377.2800000000002</v>
      </c>
    </row>
    <row r="370" spans="1:7" x14ac:dyDescent="0.2">
      <c r="A370" s="1" t="s">
        <v>178</v>
      </c>
      <c r="B370" s="2" t="s">
        <v>8</v>
      </c>
      <c r="C370" s="2" t="s">
        <v>9</v>
      </c>
      <c r="D370" s="2" t="s">
        <v>17</v>
      </c>
      <c r="E370">
        <v>2</v>
      </c>
      <c r="F370" s="3">
        <v>4317.47</v>
      </c>
      <c r="G370" s="3">
        <f t="shared" si="5"/>
        <v>8634.94</v>
      </c>
    </row>
    <row r="371" spans="1:7" x14ac:dyDescent="0.2">
      <c r="A371" s="1" t="s">
        <v>178</v>
      </c>
      <c r="B371" s="2" t="s">
        <v>13</v>
      </c>
      <c r="C371" s="2" t="s">
        <v>21</v>
      </c>
      <c r="D371" s="2" t="s">
        <v>27</v>
      </c>
      <c r="E371">
        <v>7</v>
      </c>
      <c r="F371" s="3">
        <v>1623.67</v>
      </c>
      <c r="G371" s="3">
        <f t="shared" si="5"/>
        <v>11365.69</v>
      </c>
    </row>
    <row r="372" spans="1:7" x14ac:dyDescent="0.2">
      <c r="A372" s="1" t="s">
        <v>178</v>
      </c>
      <c r="B372" s="2" t="s">
        <v>13</v>
      </c>
      <c r="C372" s="2" t="s">
        <v>11</v>
      </c>
      <c r="D372" s="2" t="s">
        <v>12</v>
      </c>
      <c r="E372">
        <v>8</v>
      </c>
      <c r="F372" s="3">
        <v>3196.24</v>
      </c>
      <c r="G372" s="3">
        <f t="shared" si="5"/>
        <v>25569.919999999998</v>
      </c>
    </row>
    <row r="373" spans="1:7" x14ac:dyDescent="0.2">
      <c r="A373" s="1" t="s">
        <v>178</v>
      </c>
      <c r="B373" s="2" t="s">
        <v>16</v>
      </c>
      <c r="C373" s="2" t="s">
        <v>21</v>
      </c>
      <c r="D373" s="2" t="s">
        <v>28</v>
      </c>
      <c r="E373">
        <v>2</v>
      </c>
      <c r="F373" s="3">
        <v>2904.9</v>
      </c>
      <c r="G373" s="3">
        <f t="shared" si="5"/>
        <v>5809.8</v>
      </c>
    </row>
    <row r="374" spans="1:7" x14ac:dyDescent="0.2">
      <c r="A374" s="1" t="s">
        <v>178</v>
      </c>
      <c r="B374" s="2" t="s">
        <v>8</v>
      </c>
      <c r="C374" s="2" t="s">
        <v>25</v>
      </c>
      <c r="D374" s="2" t="s">
        <v>26</v>
      </c>
      <c r="E374">
        <v>6</v>
      </c>
      <c r="F374" s="3">
        <v>1038.8</v>
      </c>
      <c r="G374" s="3">
        <f t="shared" si="5"/>
        <v>6232.7999999999993</v>
      </c>
    </row>
    <row r="375" spans="1:7" x14ac:dyDescent="0.2">
      <c r="A375" s="1" t="s">
        <v>179</v>
      </c>
      <c r="B375" s="2" t="s">
        <v>19</v>
      </c>
      <c r="C375" s="2" t="s">
        <v>25</v>
      </c>
      <c r="D375" s="2" t="s">
        <v>64</v>
      </c>
      <c r="E375">
        <v>3</v>
      </c>
      <c r="F375" s="3">
        <v>1320.79</v>
      </c>
      <c r="G375" s="3">
        <f t="shared" si="5"/>
        <v>3962.37</v>
      </c>
    </row>
    <row r="376" spans="1:7" x14ac:dyDescent="0.2">
      <c r="A376" s="1" t="s">
        <v>180</v>
      </c>
      <c r="B376" s="2" t="s">
        <v>16</v>
      </c>
      <c r="C376" s="2" t="s">
        <v>25</v>
      </c>
      <c r="D376" s="2" t="s">
        <v>26</v>
      </c>
      <c r="E376">
        <v>3</v>
      </c>
      <c r="F376" s="3">
        <v>1072.26</v>
      </c>
      <c r="G376" s="3">
        <f t="shared" si="5"/>
        <v>3216.7799999999997</v>
      </c>
    </row>
    <row r="377" spans="1:7" x14ac:dyDescent="0.2">
      <c r="A377" s="1" t="s">
        <v>180</v>
      </c>
      <c r="B377" s="2" t="s">
        <v>13</v>
      </c>
      <c r="C377" s="2" t="s">
        <v>25</v>
      </c>
      <c r="D377" s="2" t="s">
        <v>26</v>
      </c>
      <c r="E377">
        <v>6</v>
      </c>
      <c r="F377" s="3">
        <v>1502.89</v>
      </c>
      <c r="G377" s="3">
        <f t="shared" si="5"/>
        <v>9017.34</v>
      </c>
    </row>
    <row r="378" spans="1:7" x14ac:dyDescent="0.2">
      <c r="A378" s="1" t="s">
        <v>181</v>
      </c>
      <c r="B378" s="2" t="s">
        <v>16</v>
      </c>
      <c r="C378" s="2" t="s">
        <v>11</v>
      </c>
      <c r="D378" s="2" t="s">
        <v>12</v>
      </c>
      <c r="E378">
        <v>3</v>
      </c>
      <c r="F378" s="3">
        <v>2615.59</v>
      </c>
      <c r="G378" s="3">
        <f t="shared" si="5"/>
        <v>7846.77</v>
      </c>
    </row>
    <row r="379" spans="1:7" x14ac:dyDescent="0.2">
      <c r="A379" s="1" t="s">
        <v>182</v>
      </c>
      <c r="B379" s="2" t="s">
        <v>16</v>
      </c>
      <c r="C379" s="2" t="s">
        <v>25</v>
      </c>
      <c r="D379" s="2" t="s">
        <v>64</v>
      </c>
      <c r="E379">
        <v>3</v>
      </c>
      <c r="F379" s="3">
        <v>1046.68</v>
      </c>
      <c r="G379" s="3">
        <f t="shared" si="5"/>
        <v>3140.04</v>
      </c>
    </row>
    <row r="380" spans="1:7" x14ac:dyDescent="0.2">
      <c r="A380" s="1" t="s">
        <v>182</v>
      </c>
      <c r="B380" s="2" t="s">
        <v>13</v>
      </c>
      <c r="C380" s="2" t="s">
        <v>21</v>
      </c>
      <c r="D380" s="2" t="s">
        <v>28</v>
      </c>
      <c r="E380">
        <v>3</v>
      </c>
      <c r="F380" s="3">
        <v>3993.22</v>
      </c>
      <c r="G380" s="3">
        <f t="shared" si="5"/>
        <v>11979.66</v>
      </c>
    </row>
    <row r="381" spans="1:7" x14ac:dyDescent="0.2">
      <c r="A381" s="1" t="s">
        <v>183</v>
      </c>
      <c r="B381" s="2" t="s">
        <v>16</v>
      </c>
      <c r="C381" s="2" t="s">
        <v>21</v>
      </c>
      <c r="D381" s="2" t="s">
        <v>22</v>
      </c>
      <c r="E381">
        <v>3</v>
      </c>
      <c r="F381" s="3">
        <v>834.08</v>
      </c>
      <c r="G381" s="3">
        <f t="shared" si="5"/>
        <v>2502.2400000000002</v>
      </c>
    </row>
    <row r="382" spans="1:7" x14ac:dyDescent="0.2">
      <c r="A382" s="1" t="s">
        <v>183</v>
      </c>
      <c r="B382" s="2" t="s">
        <v>13</v>
      </c>
      <c r="C382" s="2" t="s">
        <v>9</v>
      </c>
      <c r="D382" s="2" t="s">
        <v>17</v>
      </c>
      <c r="E382">
        <v>8</v>
      </c>
      <c r="F382" s="3">
        <v>4111.93</v>
      </c>
      <c r="G382" s="3">
        <f t="shared" si="5"/>
        <v>32895.440000000002</v>
      </c>
    </row>
    <row r="383" spans="1:7" x14ac:dyDescent="0.2">
      <c r="A383" s="1" t="s">
        <v>183</v>
      </c>
      <c r="B383" s="2" t="s">
        <v>8</v>
      </c>
      <c r="C383" s="2" t="s">
        <v>25</v>
      </c>
      <c r="D383" s="2" t="s">
        <v>64</v>
      </c>
      <c r="E383">
        <v>9</v>
      </c>
      <c r="F383" s="3">
        <v>1556.66</v>
      </c>
      <c r="G383" s="3">
        <f t="shared" si="5"/>
        <v>14009.94</v>
      </c>
    </row>
    <row r="384" spans="1:7" x14ac:dyDescent="0.2">
      <c r="A384" s="1" t="s">
        <v>183</v>
      </c>
      <c r="B384" s="2" t="s">
        <v>13</v>
      </c>
      <c r="C384" s="2" t="s">
        <v>9</v>
      </c>
      <c r="D384" s="2" t="s">
        <v>10</v>
      </c>
      <c r="E384">
        <v>7</v>
      </c>
      <c r="F384" s="3">
        <v>813.08</v>
      </c>
      <c r="G384" s="3">
        <f t="shared" si="5"/>
        <v>5691.56</v>
      </c>
    </row>
    <row r="385" spans="1:7" x14ac:dyDescent="0.2">
      <c r="A385" s="1" t="s">
        <v>184</v>
      </c>
      <c r="B385" s="2" t="s">
        <v>13</v>
      </c>
      <c r="C385" s="2" t="s">
        <v>21</v>
      </c>
      <c r="D385" s="2" t="s">
        <v>27</v>
      </c>
      <c r="E385">
        <v>6</v>
      </c>
      <c r="F385" s="3">
        <v>1015.5</v>
      </c>
      <c r="G385" s="3">
        <f t="shared" si="5"/>
        <v>6093</v>
      </c>
    </row>
    <row r="386" spans="1:7" x14ac:dyDescent="0.2">
      <c r="A386" s="1" t="s">
        <v>184</v>
      </c>
      <c r="B386" s="2" t="s">
        <v>16</v>
      </c>
      <c r="C386" s="2" t="s">
        <v>11</v>
      </c>
      <c r="D386" s="2" t="s">
        <v>12</v>
      </c>
      <c r="E386">
        <v>7</v>
      </c>
      <c r="F386" s="3">
        <v>2121.1999999999998</v>
      </c>
      <c r="G386" s="3">
        <f t="shared" ref="G386:G449" si="6">E386*F386</f>
        <v>14848.399999999998</v>
      </c>
    </row>
    <row r="387" spans="1:7" x14ac:dyDescent="0.2">
      <c r="A387" s="1" t="s">
        <v>184</v>
      </c>
      <c r="B387" s="2" t="s">
        <v>13</v>
      </c>
      <c r="C387" s="2" t="s">
        <v>25</v>
      </c>
      <c r="D387" s="2" t="s">
        <v>45</v>
      </c>
      <c r="E387">
        <v>6</v>
      </c>
      <c r="F387" s="3">
        <v>985.42</v>
      </c>
      <c r="G387" s="3">
        <f t="shared" si="6"/>
        <v>5912.5199999999995</v>
      </c>
    </row>
    <row r="388" spans="1:7" x14ac:dyDescent="0.2">
      <c r="A388" s="1" t="s">
        <v>185</v>
      </c>
      <c r="B388" s="2" t="s">
        <v>13</v>
      </c>
      <c r="C388" s="2" t="s">
        <v>11</v>
      </c>
      <c r="D388" s="2" t="s">
        <v>14</v>
      </c>
      <c r="E388">
        <v>1</v>
      </c>
      <c r="F388" s="3">
        <v>1406.27</v>
      </c>
      <c r="G388" s="3">
        <f t="shared" si="6"/>
        <v>1406.27</v>
      </c>
    </row>
    <row r="389" spans="1:7" x14ac:dyDescent="0.2">
      <c r="A389" s="1" t="s">
        <v>186</v>
      </c>
      <c r="B389" s="2" t="s">
        <v>19</v>
      </c>
      <c r="C389" s="2" t="s">
        <v>9</v>
      </c>
      <c r="D389" s="2" t="s">
        <v>30</v>
      </c>
      <c r="E389">
        <v>2</v>
      </c>
      <c r="F389" s="3">
        <v>5345.71</v>
      </c>
      <c r="G389" s="3">
        <f t="shared" si="6"/>
        <v>10691.42</v>
      </c>
    </row>
    <row r="390" spans="1:7" x14ac:dyDescent="0.2">
      <c r="A390" s="1" t="s">
        <v>187</v>
      </c>
      <c r="B390" s="2" t="s">
        <v>19</v>
      </c>
      <c r="C390" s="2" t="s">
        <v>11</v>
      </c>
      <c r="D390" s="2" t="s">
        <v>48</v>
      </c>
      <c r="E390">
        <v>6</v>
      </c>
      <c r="F390" s="3">
        <v>3331.42</v>
      </c>
      <c r="G390" s="3">
        <f t="shared" si="6"/>
        <v>19988.52</v>
      </c>
    </row>
    <row r="391" spans="1:7" x14ac:dyDescent="0.2">
      <c r="A391" s="1" t="s">
        <v>188</v>
      </c>
      <c r="B391" s="2" t="s">
        <v>16</v>
      </c>
      <c r="C391" s="2" t="s">
        <v>21</v>
      </c>
      <c r="D391" s="2" t="s">
        <v>58</v>
      </c>
      <c r="E391">
        <v>8</v>
      </c>
      <c r="F391" s="3">
        <v>1984.97</v>
      </c>
      <c r="G391" s="3">
        <f t="shared" si="6"/>
        <v>15879.76</v>
      </c>
    </row>
    <row r="392" spans="1:7" x14ac:dyDescent="0.2">
      <c r="A392" s="1" t="s">
        <v>189</v>
      </c>
      <c r="B392" s="2" t="s">
        <v>13</v>
      </c>
      <c r="C392" s="2" t="s">
        <v>25</v>
      </c>
      <c r="D392" s="2" t="s">
        <v>26</v>
      </c>
      <c r="E392">
        <v>4</v>
      </c>
      <c r="F392" s="3">
        <v>1290.57</v>
      </c>
      <c r="G392" s="3">
        <f t="shared" si="6"/>
        <v>5162.28</v>
      </c>
    </row>
    <row r="393" spans="1:7" x14ac:dyDescent="0.2">
      <c r="A393" s="1" t="s">
        <v>190</v>
      </c>
      <c r="B393" s="2" t="s">
        <v>16</v>
      </c>
      <c r="C393" s="2" t="s">
        <v>9</v>
      </c>
      <c r="D393" s="2" t="s">
        <v>41</v>
      </c>
      <c r="E393">
        <v>7</v>
      </c>
      <c r="F393" s="3">
        <v>2445.2800000000002</v>
      </c>
      <c r="G393" s="3">
        <f t="shared" si="6"/>
        <v>17116.960000000003</v>
      </c>
    </row>
    <row r="394" spans="1:7" x14ac:dyDescent="0.2">
      <c r="A394" s="1" t="s">
        <v>190</v>
      </c>
      <c r="B394" s="2" t="s">
        <v>16</v>
      </c>
      <c r="C394" s="2" t="s">
        <v>21</v>
      </c>
      <c r="D394" s="2" t="s">
        <v>22</v>
      </c>
      <c r="E394">
        <v>4</v>
      </c>
      <c r="F394" s="3">
        <v>847.99</v>
      </c>
      <c r="G394" s="3">
        <f t="shared" si="6"/>
        <v>3391.96</v>
      </c>
    </row>
    <row r="395" spans="1:7" x14ac:dyDescent="0.2">
      <c r="A395" s="1" t="s">
        <v>190</v>
      </c>
      <c r="B395" s="2" t="s">
        <v>8</v>
      </c>
      <c r="C395" s="2" t="s">
        <v>25</v>
      </c>
      <c r="D395" s="2" t="s">
        <v>36</v>
      </c>
      <c r="E395">
        <v>7</v>
      </c>
      <c r="F395" s="3">
        <v>511</v>
      </c>
      <c r="G395" s="3">
        <f t="shared" si="6"/>
        <v>3577</v>
      </c>
    </row>
    <row r="396" spans="1:7" x14ac:dyDescent="0.2">
      <c r="A396" s="1" t="s">
        <v>190</v>
      </c>
      <c r="B396" s="2" t="s">
        <v>16</v>
      </c>
      <c r="C396" s="2" t="s">
        <v>21</v>
      </c>
      <c r="D396" s="2" t="s">
        <v>37</v>
      </c>
      <c r="E396">
        <v>1</v>
      </c>
      <c r="F396" s="3">
        <v>2035.18</v>
      </c>
      <c r="G396" s="3">
        <f t="shared" si="6"/>
        <v>2035.18</v>
      </c>
    </row>
    <row r="397" spans="1:7" x14ac:dyDescent="0.2">
      <c r="A397" s="1" t="s">
        <v>190</v>
      </c>
      <c r="B397" s="2" t="s">
        <v>13</v>
      </c>
      <c r="C397" s="2" t="s">
        <v>11</v>
      </c>
      <c r="D397" s="2" t="s">
        <v>20</v>
      </c>
      <c r="E397">
        <v>5</v>
      </c>
      <c r="F397" s="3">
        <v>896.36</v>
      </c>
      <c r="G397" s="3">
        <f t="shared" si="6"/>
        <v>4481.8</v>
      </c>
    </row>
    <row r="398" spans="1:7" x14ac:dyDescent="0.2">
      <c r="A398" s="1" t="s">
        <v>190</v>
      </c>
      <c r="B398" s="2" t="s">
        <v>16</v>
      </c>
      <c r="C398" s="2" t="s">
        <v>11</v>
      </c>
      <c r="D398" s="2" t="s">
        <v>31</v>
      </c>
      <c r="E398">
        <v>5</v>
      </c>
      <c r="F398" s="3">
        <v>663.96</v>
      </c>
      <c r="G398" s="3">
        <f t="shared" si="6"/>
        <v>3319.8</v>
      </c>
    </row>
    <row r="399" spans="1:7" x14ac:dyDescent="0.2">
      <c r="A399" s="1" t="s">
        <v>190</v>
      </c>
      <c r="B399" s="2" t="s">
        <v>13</v>
      </c>
      <c r="C399" s="2" t="s">
        <v>9</v>
      </c>
      <c r="D399" s="2" t="s">
        <v>41</v>
      </c>
      <c r="E399">
        <v>7</v>
      </c>
      <c r="F399" s="3">
        <v>1764.59</v>
      </c>
      <c r="G399" s="3">
        <f t="shared" si="6"/>
        <v>12352.13</v>
      </c>
    </row>
    <row r="400" spans="1:7" x14ac:dyDescent="0.2">
      <c r="A400" s="1" t="s">
        <v>190</v>
      </c>
      <c r="B400" s="2" t="s">
        <v>8</v>
      </c>
      <c r="C400" s="2" t="s">
        <v>21</v>
      </c>
      <c r="D400" s="2" t="s">
        <v>37</v>
      </c>
      <c r="E400">
        <v>3</v>
      </c>
      <c r="F400" s="3">
        <v>2911.9</v>
      </c>
      <c r="G400" s="3">
        <f t="shared" si="6"/>
        <v>8735.7000000000007</v>
      </c>
    </row>
    <row r="401" spans="1:7" x14ac:dyDescent="0.2">
      <c r="A401" s="1" t="s">
        <v>190</v>
      </c>
      <c r="B401" s="2" t="s">
        <v>13</v>
      </c>
      <c r="C401" s="2" t="s">
        <v>25</v>
      </c>
      <c r="D401" s="2" t="s">
        <v>45</v>
      </c>
      <c r="E401">
        <v>6</v>
      </c>
      <c r="F401" s="3">
        <v>840.88</v>
      </c>
      <c r="G401" s="3">
        <f t="shared" si="6"/>
        <v>5045.28</v>
      </c>
    </row>
    <row r="402" spans="1:7" x14ac:dyDescent="0.2">
      <c r="A402" s="1" t="s">
        <v>191</v>
      </c>
      <c r="B402" s="2" t="s">
        <v>13</v>
      </c>
      <c r="C402" s="2" t="s">
        <v>11</v>
      </c>
      <c r="D402" s="2" t="s">
        <v>31</v>
      </c>
      <c r="E402">
        <v>6</v>
      </c>
      <c r="F402" s="3">
        <v>634.73</v>
      </c>
      <c r="G402" s="3">
        <f t="shared" si="6"/>
        <v>3808.38</v>
      </c>
    </row>
    <row r="403" spans="1:7" x14ac:dyDescent="0.2">
      <c r="A403" s="1" t="s">
        <v>191</v>
      </c>
      <c r="B403" s="2" t="s">
        <v>8</v>
      </c>
      <c r="C403" s="2" t="s">
        <v>9</v>
      </c>
      <c r="D403" s="2" t="s">
        <v>41</v>
      </c>
      <c r="E403">
        <v>5</v>
      </c>
      <c r="F403" s="3">
        <v>2546.91</v>
      </c>
      <c r="G403" s="3">
        <f t="shared" si="6"/>
        <v>12734.55</v>
      </c>
    </row>
    <row r="404" spans="1:7" x14ac:dyDescent="0.2">
      <c r="A404" s="1" t="s">
        <v>192</v>
      </c>
      <c r="B404" s="2" t="s">
        <v>16</v>
      </c>
      <c r="C404" s="2" t="s">
        <v>25</v>
      </c>
      <c r="D404" s="2" t="s">
        <v>26</v>
      </c>
      <c r="E404">
        <v>9</v>
      </c>
      <c r="F404" s="3">
        <v>1227.95</v>
      </c>
      <c r="G404" s="3">
        <f t="shared" si="6"/>
        <v>11051.550000000001</v>
      </c>
    </row>
    <row r="405" spans="1:7" x14ac:dyDescent="0.2">
      <c r="A405" s="1" t="s">
        <v>193</v>
      </c>
      <c r="B405" s="2" t="s">
        <v>8</v>
      </c>
      <c r="C405" s="2" t="s">
        <v>21</v>
      </c>
      <c r="D405" s="2" t="s">
        <v>58</v>
      </c>
      <c r="E405">
        <v>2</v>
      </c>
      <c r="F405" s="3">
        <v>2092.7399999999998</v>
      </c>
      <c r="G405" s="3">
        <f t="shared" si="6"/>
        <v>4185.4799999999996</v>
      </c>
    </row>
    <row r="406" spans="1:7" x14ac:dyDescent="0.2">
      <c r="A406" s="1" t="s">
        <v>193</v>
      </c>
      <c r="B406" s="2" t="s">
        <v>8</v>
      </c>
      <c r="C406" s="2" t="s">
        <v>9</v>
      </c>
      <c r="D406" s="2" t="s">
        <v>43</v>
      </c>
      <c r="E406">
        <v>8</v>
      </c>
      <c r="F406" s="3">
        <v>950.05</v>
      </c>
      <c r="G406" s="3">
        <f t="shared" si="6"/>
        <v>7600.4</v>
      </c>
    </row>
    <row r="407" spans="1:7" x14ac:dyDescent="0.2">
      <c r="A407" s="1" t="s">
        <v>193</v>
      </c>
      <c r="B407" s="2" t="s">
        <v>16</v>
      </c>
      <c r="C407" s="2" t="s">
        <v>25</v>
      </c>
      <c r="D407" s="2" t="s">
        <v>45</v>
      </c>
      <c r="E407">
        <v>1</v>
      </c>
      <c r="F407" s="3">
        <v>837.38</v>
      </c>
      <c r="G407" s="3">
        <f t="shared" si="6"/>
        <v>837.38</v>
      </c>
    </row>
    <row r="408" spans="1:7" x14ac:dyDescent="0.2">
      <c r="A408" s="1" t="s">
        <v>194</v>
      </c>
      <c r="B408" s="2" t="s">
        <v>8</v>
      </c>
      <c r="C408" s="2" t="s">
        <v>9</v>
      </c>
      <c r="D408" s="2" t="s">
        <v>43</v>
      </c>
      <c r="E408">
        <v>7</v>
      </c>
      <c r="F408" s="3">
        <v>671.55</v>
      </c>
      <c r="G408" s="3">
        <f t="shared" si="6"/>
        <v>4700.8499999999995</v>
      </c>
    </row>
    <row r="409" spans="1:7" x14ac:dyDescent="0.2">
      <c r="A409" s="1" t="s">
        <v>194</v>
      </c>
      <c r="B409" s="2" t="s">
        <v>16</v>
      </c>
      <c r="C409" s="2" t="s">
        <v>11</v>
      </c>
      <c r="D409" s="2" t="s">
        <v>14</v>
      </c>
      <c r="E409">
        <v>6</v>
      </c>
      <c r="F409" s="3">
        <v>1560.78</v>
      </c>
      <c r="G409" s="3">
        <f t="shared" si="6"/>
        <v>9364.68</v>
      </c>
    </row>
    <row r="410" spans="1:7" x14ac:dyDescent="0.2">
      <c r="A410" s="1" t="s">
        <v>194</v>
      </c>
      <c r="B410" s="2" t="s">
        <v>8</v>
      </c>
      <c r="C410" s="2" t="s">
        <v>11</v>
      </c>
      <c r="D410" s="2" t="s">
        <v>14</v>
      </c>
      <c r="E410">
        <v>3</v>
      </c>
      <c r="F410" s="3">
        <v>1427.95</v>
      </c>
      <c r="G410" s="3">
        <f t="shared" si="6"/>
        <v>4283.8500000000004</v>
      </c>
    </row>
    <row r="411" spans="1:7" x14ac:dyDescent="0.2">
      <c r="A411" s="1" t="s">
        <v>195</v>
      </c>
      <c r="B411" s="2" t="s">
        <v>19</v>
      </c>
      <c r="C411" s="2" t="s">
        <v>9</v>
      </c>
      <c r="D411" s="2" t="s">
        <v>10</v>
      </c>
      <c r="E411">
        <v>3</v>
      </c>
      <c r="F411" s="3">
        <v>878.67</v>
      </c>
      <c r="G411" s="3">
        <f t="shared" si="6"/>
        <v>2636.0099999999998</v>
      </c>
    </row>
    <row r="412" spans="1:7" x14ac:dyDescent="0.2">
      <c r="A412" s="1" t="s">
        <v>195</v>
      </c>
      <c r="B412" s="2" t="s">
        <v>13</v>
      </c>
      <c r="C412" s="2" t="s">
        <v>25</v>
      </c>
      <c r="D412" s="2" t="s">
        <v>50</v>
      </c>
      <c r="E412">
        <v>8</v>
      </c>
      <c r="F412" s="3">
        <v>2119.0100000000002</v>
      </c>
      <c r="G412" s="3">
        <f t="shared" si="6"/>
        <v>16952.080000000002</v>
      </c>
    </row>
    <row r="413" spans="1:7" x14ac:dyDescent="0.2">
      <c r="A413" s="1" t="s">
        <v>195</v>
      </c>
      <c r="B413" s="2" t="s">
        <v>16</v>
      </c>
      <c r="C413" s="2" t="s">
        <v>9</v>
      </c>
      <c r="D413" s="2" t="s">
        <v>30</v>
      </c>
      <c r="E413">
        <v>3</v>
      </c>
      <c r="F413" s="3">
        <v>6357.35</v>
      </c>
      <c r="G413" s="3">
        <f t="shared" si="6"/>
        <v>19072.050000000003</v>
      </c>
    </row>
    <row r="414" spans="1:7" x14ac:dyDescent="0.2">
      <c r="A414" s="1" t="s">
        <v>195</v>
      </c>
      <c r="B414" s="2" t="s">
        <v>16</v>
      </c>
      <c r="C414" s="2" t="s">
        <v>25</v>
      </c>
      <c r="D414" s="2" t="s">
        <v>26</v>
      </c>
      <c r="E414">
        <v>10</v>
      </c>
      <c r="F414" s="3">
        <v>2197.35</v>
      </c>
      <c r="G414" s="3">
        <f t="shared" si="6"/>
        <v>21973.5</v>
      </c>
    </row>
    <row r="415" spans="1:7" x14ac:dyDescent="0.2">
      <c r="A415" s="1" t="s">
        <v>196</v>
      </c>
      <c r="B415" s="2" t="s">
        <v>19</v>
      </c>
      <c r="C415" s="2" t="s">
        <v>9</v>
      </c>
      <c r="D415" s="2" t="s">
        <v>30</v>
      </c>
      <c r="E415">
        <v>7</v>
      </c>
      <c r="F415" s="3">
        <v>8303.8700000000008</v>
      </c>
      <c r="G415" s="3">
        <f t="shared" si="6"/>
        <v>58127.090000000004</v>
      </c>
    </row>
    <row r="416" spans="1:7" x14ac:dyDescent="0.2">
      <c r="A416" s="1" t="s">
        <v>196</v>
      </c>
      <c r="B416" s="2" t="s">
        <v>16</v>
      </c>
      <c r="C416" s="2" t="s">
        <v>25</v>
      </c>
      <c r="D416" s="2" t="s">
        <v>50</v>
      </c>
      <c r="E416">
        <v>3</v>
      </c>
      <c r="F416" s="3">
        <v>1914.85</v>
      </c>
      <c r="G416" s="3">
        <f t="shared" si="6"/>
        <v>5744.5499999999993</v>
      </c>
    </row>
    <row r="417" spans="1:7" x14ac:dyDescent="0.2">
      <c r="A417" s="1" t="s">
        <v>196</v>
      </c>
      <c r="B417" s="2" t="s">
        <v>8</v>
      </c>
      <c r="C417" s="2" t="s">
        <v>25</v>
      </c>
      <c r="D417" s="2" t="s">
        <v>64</v>
      </c>
      <c r="E417">
        <v>1</v>
      </c>
      <c r="F417" s="3">
        <v>1456.72</v>
      </c>
      <c r="G417" s="3">
        <f t="shared" si="6"/>
        <v>1456.72</v>
      </c>
    </row>
    <row r="418" spans="1:7" x14ac:dyDescent="0.2">
      <c r="A418" s="1" t="s">
        <v>197</v>
      </c>
      <c r="B418" s="2" t="s">
        <v>8</v>
      </c>
      <c r="C418" s="2" t="s">
        <v>11</v>
      </c>
      <c r="D418" s="2" t="s">
        <v>14</v>
      </c>
      <c r="E418">
        <v>2</v>
      </c>
      <c r="F418" s="3">
        <v>929</v>
      </c>
      <c r="G418" s="3">
        <f t="shared" si="6"/>
        <v>1858</v>
      </c>
    </row>
    <row r="419" spans="1:7" x14ac:dyDescent="0.2">
      <c r="A419" s="1" t="s">
        <v>197</v>
      </c>
      <c r="B419" s="2" t="s">
        <v>16</v>
      </c>
      <c r="C419" s="2" t="s">
        <v>25</v>
      </c>
      <c r="D419" s="2" t="s">
        <v>50</v>
      </c>
      <c r="E419">
        <v>5</v>
      </c>
      <c r="F419" s="3">
        <v>2746.57</v>
      </c>
      <c r="G419" s="3">
        <f t="shared" si="6"/>
        <v>13732.85</v>
      </c>
    </row>
    <row r="420" spans="1:7" x14ac:dyDescent="0.2">
      <c r="A420" s="1" t="s">
        <v>198</v>
      </c>
      <c r="B420" s="2" t="s">
        <v>13</v>
      </c>
      <c r="C420" s="2" t="s">
        <v>21</v>
      </c>
      <c r="D420" s="2" t="s">
        <v>28</v>
      </c>
      <c r="E420">
        <v>3</v>
      </c>
      <c r="F420" s="3">
        <v>4252.74</v>
      </c>
      <c r="G420" s="3">
        <f t="shared" si="6"/>
        <v>12758.22</v>
      </c>
    </row>
    <row r="421" spans="1:7" x14ac:dyDescent="0.2">
      <c r="A421" s="1" t="s">
        <v>198</v>
      </c>
      <c r="B421" s="2" t="s">
        <v>16</v>
      </c>
      <c r="C421" s="2" t="s">
        <v>21</v>
      </c>
      <c r="D421" s="2" t="s">
        <v>28</v>
      </c>
      <c r="E421">
        <v>7</v>
      </c>
      <c r="F421" s="3">
        <v>4615.37</v>
      </c>
      <c r="G421" s="3">
        <f t="shared" si="6"/>
        <v>32307.59</v>
      </c>
    </row>
    <row r="422" spans="1:7" x14ac:dyDescent="0.2">
      <c r="A422" s="1" t="s">
        <v>199</v>
      </c>
      <c r="B422" s="2" t="s">
        <v>16</v>
      </c>
      <c r="C422" s="2" t="s">
        <v>11</v>
      </c>
      <c r="D422" s="2" t="s">
        <v>31</v>
      </c>
      <c r="E422">
        <v>1</v>
      </c>
      <c r="F422" s="3">
        <v>613.98</v>
      </c>
      <c r="G422" s="3">
        <f t="shared" si="6"/>
        <v>613.98</v>
      </c>
    </row>
    <row r="423" spans="1:7" x14ac:dyDescent="0.2">
      <c r="A423" s="1" t="s">
        <v>199</v>
      </c>
      <c r="B423" s="2" t="s">
        <v>16</v>
      </c>
      <c r="C423" s="2" t="s">
        <v>21</v>
      </c>
      <c r="D423" s="2" t="s">
        <v>28</v>
      </c>
      <c r="E423">
        <v>7</v>
      </c>
      <c r="F423" s="3">
        <v>2778.34</v>
      </c>
      <c r="G423" s="3">
        <f t="shared" si="6"/>
        <v>19448.38</v>
      </c>
    </row>
    <row r="424" spans="1:7" x14ac:dyDescent="0.2">
      <c r="A424" s="1" t="s">
        <v>199</v>
      </c>
      <c r="B424" s="2" t="s">
        <v>19</v>
      </c>
      <c r="C424" s="2" t="s">
        <v>25</v>
      </c>
      <c r="D424" s="2" t="s">
        <v>36</v>
      </c>
      <c r="E424">
        <v>6</v>
      </c>
      <c r="F424" s="3">
        <v>707.43</v>
      </c>
      <c r="G424" s="3">
        <f t="shared" si="6"/>
        <v>4244.58</v>
      </c>
    </row>
    <row r="425" spans="1:7" x14ac:dyDescent="0.2">
      <c r="A425" s="1" t="s">
        <v>199</v>
      </c>
      <c r="B425" s="2" t="s">
        <v>16</v>
      </c>
      <c r="C425" s="2" t="s">
        <v>25</v>
      </c>
      <c r="D425" s="2" t="s">
        <v>36</v>
      </c>
      <c r="E425">
        <v>5</v>
      </c>
      <c r="F425" s="3">
        <v>481.33</v>
      </c>
      <c r="G425" s="3">
        <f t="shared" si="6"/>
        <v>2406.65</v>
      </c>
    </row>
    <row r="426" spans="1:7" x14ac:dyDescent="0.2">
      <c r="A426" s="1" t="s">
        <v>200</v>
      </c>
      <c r="B426" s="2" t="s">
        <v>16</v>
      </c>
      <c r="C426" s="2" t="s">
        <v>11</v>
      </c>
      <c r="D426" s="2" t="s">
        <v>48</v>
      </c>
      <c r="E426">
        <v>8</v>
      </c>
      <c r="F426" s="3">
        <v>2884.25</v>
      </c>
      <c r="G426" s="3">
        <f t="shared" si="6"/>
        <v>23074</v>
      </c>
    </row>
    <row r="427" spans="1:7" x14ac:dyDescent="0.2">
      <c r="A427" s="1" t="s">
        <v>200</v>
      </c>
      <c r="B427" s="2" t="s">
        <v>19</v>
      </c>
      <c r="C427" s="2" t="s">
        <v>25</v>
      </c>
      <c r="D427" s="2" t="s">
        <v>64</v>
      </c>
      <c r="E427">
        <v>7</v>
      </c>
      <c r="F427" s="3">
        <v>1306.82</v>
      </c>
      <c r="G427" s="3">
        <f t="shared" si="6"/>
        <v>9147.74</v>
      </c>
    </row>
    <row r="428" spans="1:7" x14ac:dyDescent="0.2">
      <c r="A428" s="1" t="s">
        <v>200</v>
      </c>
      <c r="B428" s="2" t="s">
        <v>16</v>
      </c>
      <c r="C428" s="2" t="s">
        <v>9</v>
      </c>
      <c r="D428" s="2" t="s">
        <v>30</v>
      </c>
      <c r="E428">
        <v>1</v>
      </c>
      <c r="F428" s="3">
        <v>6758.27</v>
      </c>
      <c r="G428" s="3">
        <f t="shared" si="6"/>
        <v>6758.27</v>
      </c>
    </row>
    <row r="429" spans="1:7" x14ac:dyDescent="0.2">
      <c r="A429" s="1" t="s">
        <v>200</v>
      </c>
      <c r="B429" s="2" t="s">
        <v>19</v>
      </c>
      <c r="C429" s="2" t="s">
        <v>25</v>
      </c>
      <c r="D429" s="2" t="s">
        <v>45</v>
      </c>
      <c r="E429">
        <v>1</v>
      </c>
      <c r="F429" s="3">
        <v>1015.85</v>
      </c>
      <c r="G429" s="3">
        <f t="shared" si="6"/>
        <v>1015.85</v>
      </c>
    </row>
    <row r="430" spans="1:7" x14ac:dyDescent="0.2">
      <c r="A430" s="1" t="s">
        <v>201</v>
      </c>
      <c r="B430" s="2" t="s">
        <v>8</v>
      </c>
      <c r="C430" s="2" t="s">
        <v>21</v>
      </c>
      <c r="D430" s="2" t="s">
        <v>58</v>
      </c>
      <c r="E430">
        <v>2</v>
      </c>
      <c r="F430" s="3">
        <v>2434.4</v>
      </c>
      <c r="G430" s="3">
        <f t="shared" si="6"/>
        <v>4868.8</v>
      </c>
    </row>
    <row r="431" spans="1:7" x14ac:dyDescent="0.2">
      <c r="A431" s="1" t="s">
        <v>201</v>
      </c>
      <c r="B431" s="2" t="s">
        <v>8</v>
      </c>
      <c r="C431" s="2" t="s">
        <v>25</v>
      </c>
      <c r="D431" s="2" t="s">
        <v>45</v>
      </c>
      <c r="E431">
        <v>10</v>
      </c>
      <c r="F431" s="3">
        <v>559.99</v>
      </c>
      <c r="G431" s="3">
        <f t="shared" si="6"/>
        <v>5599.9</v>
      </c>
    </row>
    <row r="432" spans="1:7" x14ac:dyDescent="0.2">
      <c r="A432" s="1" t="s">
        <v>201</v>
      </c>
      <c r="B432" s="2" t="s">
        <v>8</v>
      </c>
      <c r="C432" s="2" t="s">
        <v>11</v>
      </c>
      <c r="D432" s="2" t="s">
        <v>20</v>
      </c>
      <c r="E432">
        <v>2</v>
      </c>
      <c r="F432" s="3">
        <v>1040.07</v>
      </c>
      <c r="G432" s="3">
        <f t="shared" si="6"/>
        <v>2080.14</v>
      </c>
    </row>
    <row r="433" spans="1:7" x14ac:dyDescent="0.2">
      <c r="A433" s="1" t="s">
        <v>201</v>
      </c>
      <c r="B433" s="2" t="s">
        <v>8</v>
      </c>
      <c r="C433" s="2" t="s">
        <v>11</v>
      </c>
      <c r="D433" s="2" t="s">
        <v>31</v>
      </c>
      <c r="E433">
        <v>2</v>
      </c>
      <c r="F433" s="3">
        <v>586.53</v>
      </c>
      <c r="G433" s="3">
        <f t="shared" si="6"/>
        <v>1173.06</v>
      </c>
    </row>
    <row r="434" spans="1:7" x14ac:dyDescent="0.2">
      <c r="A434" s="1" t="s">
        <v>201</v>
      </c>
      <c r="B434" s="2" t="s">
        <v>13</v>
      </c>
      <c r="C434" s="2" t="s">
        <v>9</v>
      </c>
      <c r="D434" s="2" t="s">
        <v>30</v>
      </c>
      <c r="E434">
        <v>5</v>
      </c>
      <c r="F434" s="3">
        <v>6968.45</v>
      </c>
      <c r="G434" s="3">
        <f t="shared" si="6"/>
        <v>34842.25</v>
      </c>
    </row>
    <row r="435" spans="1:7" x14ac:dyDescent="0.2">
      <c r="A435" s="1" t="s">
        <v>202</v>
      </c>
      <c r="B435" s="2" t="s">
        <v>19</v>
      </c>
      <c r="C435" s="2" t="s">
        <v>21</v>
      </c>
      <c r="D435" s="2" t="s">
        <v>22</v>
      </c>
      <c r="E435">
        <v>1</v>
      </c>
      <c r="F435" s="3">
        <v>973.32</v>
      </c>
      <c r="G435" s="3">
        <f t="shared" si="6"/>
        <v>973.32</v>
      </c>
    </row>
    <row r="436" spans="1:7" x14ac:dyDescent="0.2">
      <c r="A436" s="1" t="s">
        <v>202</v>
      </c>
      <c r="B436" s="2" t="s">
        <v>8</v>
      </c>
      <c r="C436" s="2" t="s">
        <v>25</v>
      </c>
      <c r="D436" s="2" t="s">
        <v>45</v>
      </c>
      <c r="E436">
        <v>12</v>
      </c>
      <c r="F436" s="3">
        <v>1033.1400000000001</v>
      </c>
      <c r="G436" s="3">
        <f t="shared" si="6"/>
        <v>12397.68</v>
      </c>
    </row>
    <row r="437" spans="1:7" x14ac:dyDescent="0.2">
      <c r="A437" s="1" t="s">
        <v>202</v>
      </c>
      <c r="B437" s="2" t="s">
        <v>13</v>
      </c>
      <c r="C437" s="2" t="s">
        <v>9</v>
      </c>
      <c r="D437" s="2" t="s">
        <v>41</v>
      </c>
      <c r="E437">
        <v>3</v>
      </c>
      <c r="F437" s="3">
        <v>1272.5</v>
      </c>
      <c r="G437" s="3">
        <f t="shared" si="6"/>
        <v>3817.5</v>
      </c>
    </row>
    <row r="438" spans="1:7" x14ac:dyDescent="0.2">
      <c r="A438" s="1" t="s">
        <v>202</v>
      </c>
      <c r="B438" s="2" t="s">
        <v>8</v>
      </c>
      <c r="C438" s="2" t="s">
        <v>21</v>
      </c>
      <c r="D438" s="2" t="s">
        <v>27</v>
      </c>
      <c r="E438">
        <v>9</v>
      </c>
      <c r="F438" s="3">
        <v>1079.71</v>
      </c>
      <c r="G438" s="3">
        <f t="shared" si="6"/>
        <v>9717.39</v>
      </c>
    </row>
    <row r="439" spans="1:7" x14ac:dyDescent="0.2">
      <c r="A439" s="1" t="s">
        <v>203</v>
      </c>
      <c r="B439" s="2" t="s">
        <v>8</v>
      </c>
      <c r="C439" s="2" t="s">
        <v>9</v>
      </c>
      <c r="D439" s="2" t="s">
        <v>43</v>
      </c>
      <c r="E439">
        <v>2</v>
      </c>
      <c r="F439" s="3">
        <v>659.96</v>
      </c>
      <c r="G439" s="3">
        <f t="shared" si="6"/>
        <v>1319.92</v>
      </c>
    </row>
    <row r="440" spans="1:7" x14ac:dyDescent="0.2">
      <c r="A440" s="1" t="s">
        <v>203</v>
      </c>
      <c r="B440" s="2" t="s">
        <v>16</v>
      </c>
      <c r="C440" s="2" t="s">
        <v>25</v>
      </c>
      <c r="D440" s="2" t="s">
        <v>45</v>
      </c>
      <c r="E440">
        <v>5</v>
      </c>
      <c r="F440" s="3">
        <v>686.94</v>
      </c>
      <c r="G440" s="3">
        <f t="shared" si="6"/>
        <v>3434.7000000000003</v>
      </c>
    </row>
    <row r="441" spans="1:7" x14ac:dyDescent="0.2">
      <c r="A441" s="1" t="s">
        <v>203</v>
      </c>
      <c r="B441" s="2" t="s">
        <v>8</v>
      </c>
      <c r="C441" s="2" t="s">
        <v>25</v>
      </c>
      <c r="D441" s="2" t="s">
        <v>45</v>
      </c>
      <c r="E441">
        <v>1</v>
      </c>
      <c r="F441" s="3">
        <v>587.53</v>
      </c>
      <c r="G441" s="3">
        <f t="shared" si="6"/>
        <v>587.53</v>
      </c>
    </row>
    <row r="442" spans="1:7" x14ac:dyDescent="0.2">
      <c r="A442" s="1" t="s">
        <v>204</v>
      </c>
      <c r="B442" s="2" t="s">
        <v>16</v>
      </c>
      <c r="C442" s="2" t="s">
        <v>21</v>
      </c>
      <c r="D442" s="2" t="s">
        <v>28</v>
      </c>
      <c r="E442">
        <v>6</v>
      </c>
      <c r="F442" s="3">
        <v>4740.6000000000004</v>
      </c>
      <c r="G442" s="3">
        <f t="shared" si="6"/>
        <v>28443.600000000002</v>
      </c>
    </row>
    <row r="443" spans="1:7" x14ac:dyDescent="0.2">
      <c r="A443" s="1" t="s">
        <v>205</v>
      </c>
      <c r="B443" s="2" t="s">
        <v>8</v>
      </c>
      <c r="C443" s="2" t="s">
        <v>9</v>
      </c>
      <c r="D443" s="2" t="s">
        <v>43</v>
      </c>
      <c r="E443">
        <v>9</v>
      </c>
      <c r="F443" s="3">
        <v>1277.17</v>
      </c>
      <c r="G443" s="3">
        <f t="shared" si="6"/>
        <v>11494.53</v>
      </c>
    </row>
    <row r="444" spans="1:7" x14ac:dyDescent="0.2">
      <c r="A444" s="1" t="s">
        <v>206</v>
      </c>
      <c r="B444" s="2" t="s">
        <v>19</v>
      </c>
      <c r="C444" s="2" t="s">
        <v>11</v>
      </c>
      <c r="D444" s="2" t="s">
        <v>48</v>
      </c>
      <c r="E444">
        <v>2</v>
      </c>
      <c r="F444" s="3">
        <v>3355.58</v>
      </c>
      <c r="G444" s="3">
        <f t="shared" si="6"/>
        <v>6711.16</v>
      </c>
    </row>
    <row r="445" spans="1:7" x14ac:dyDescent="0.2">
      <c r="A445" s="1" t="s">
        <v>206</v>
      </c>
      <c r="B445" s="2" t="s">
        <v>19</v>
      </c>
      <c r="C445" s="2" t="s">
        <v>9</v>
      </c>
      <c r="D445" s="2" t="s">
        <v>41</v>
      </c>
      <c r="E445">
        <v>2</v>
      </c>
      <c r="F445" s="3">
        <v>1802.85</v>
      </c>
      <c r="G445" s="3">
        <f t="shared" si="6"/>
        <v>3605.7</v>
      </c>
    </row>
    <row r="446" spans="1:7" x14ac:dyDescent="0.2">
      <c r="A446" s="1" t="s">
        <v>207</v>
      </c>
      <c r="B446" s="2" t="s">
        <v>16</v>
      </c>
      <c r="C446" s="2" t="s">
        <v>25</v>
      </c>
      <c r="D446" s="2" t="s">
        <v>64</v>
      </c>
      <c r="E446">
        <v>4</v>
      </c>
      <c r="F446" s="3">
        <v>1496.87</v>
      </c>
      <c r="G446" s="3">
        <f t="shared" si="6"/>
        <v>5987.48</v>
      </c>
    </row>
    <row r="447" spans="1:7" x14ac:dyDescent="0.2">
      <c r="A447" s="1" t="s">
        <v>207</v>
      </c>
      <c r="B447" s="2" t="s">
        <v>13</v>
      </c>
      <c r="C447" s="2" t="s">
        <v>11</v>
      </c>
      <c r="D447" s="2" t="s">
        <v>12</v>
      </c>
      <c r="E447">
        <v>4</v>
      </c>
      <c r="F447" s="3">
        <v>2954.27</v>
      </c>
      <c r="G447" s="3">
        <f t="shared" si="6"/>
        <v>11817.08</v>
      </c>
    </row>
    <row r="448" spans="1:7" x14ac:dyDescent="0.2">
      <c r="A448" s="1" t="s">
        <v>207</v>
      </c>
      <c r="B448" s="2" t="s">
        <v>8</v>
      </c>
      <c r="C448" s="2" t="s">
        <v>21</v>
      </c>
      <c r="D448" s="2" t="s">
        <v>22</v>
      </c>
      <c r="E448">
        <v>8</v>
      </c>
      <c r="F448" s="3">
        <v>1351.48</v>
      </c>
      <c r="G448" s="3">
        <f t="shared" si="6"/>
        <v>10811.84</v>
      </c>
    </row>
    <row r="449" spans="1:7" x14ac:dyDescent="0.2">
      <c r="A449" s="1" t="s">
        <v>208</v>
      </c>
      <c r="B449" s="2" t="s">
        <v>16</v>
      </c>
      <c r="C449" s="2" t="s">
        <v>9</v>
      </c>
      <c r="D449" s="2" t="s">
        <v>30</v>
      </c>
      <c r="E449">
        <v>5</v>
      </c>
      <c r="F449" s="3">
        <v>6708.62</v>
      </c>
      <c r="G449" s="3">
        <f t="shared" si="6"/>
        <v>33543.1</v>
      </c>
    </row>
    <row r="450" spans="1:7" x14ac:dyDescent="0.2">
      <c r="A450" s="1" t="s">
        <v>209</v>
      </c>
      <c r="B450" s="2" t="s">
        <v>16</v>
      </c>
      <c r="C450" s="2" t="s">
        <v>21</v>
      </c>
      <c r="D450" s="2" t="s">
        <v>58</v>
      </c>
      <c r="E450">
        <v>4</v>
      </c>
      <c r="F450" s="3">
        <v>1228.67</v>
      </c>
      <c r="G450" s="3">
        <f t="shared" ref="G450:G513" si="7">E450*F450</f>
        <v>4914.68</v>
      </c>
    </row>
    <row r="451" spans="1:7" x14ac:dyDescent="0.2">
      <c r="A451" s="1" t="s">
        <v>209</v>
      </c>
      <c r="B451" s="2" t="s">
        <v>16</v>
      </c>
      <c r="C451" s="2" t="s">
        <v>21</v>
      </c>
      <c r="D451" s="2" t="s">
        <v>37</v>
      </c>
      <c r="E451">
        <v>8</v>
      </c>
      <c r="F451" s="3">
        <v>1996.63</v>
      </c>
      <c r="G451" s="3">
        <f t="shared" si="7"/>
        <v>15973.04</v>
      </c>
    </row>
    <row r="452" spans="1:7" x14ac:dyDescent="0.2">
      <c r="A452" s="1" t="s">
        <v>209</v>
      </c>
      <c r="B452" s="2" t="s">
        <v>8</v>
      </c>
      <c r="C452" s="2" t="s">
        <v>11</v>
      </c>
      <c r="D452" s="2" t="s">
        <v>31</v>
      </c>
      <c r="E452">
        <v>1</v>
      </c>
      <c r="F452" s="3">
        <v>435.07</v>
      </c>
      <c r="G452" s="3">
        <f t="shared" si="7"/>
        <v>435.07</v>
      </c>
    </row>
    <row r="453" spans="1:7" x14ac:dyDescent="0.2">
      <c r="A453" s="1" t="s">
        <v>210</v>
      </c>
      <c r="B453" s="2" t="s">
        <v>8</v>
      </c>
      <c r="C453" s="2" t="s">
        <v>25</v>
      </c>
      <c r="D453" s="2" t="s">
        <v>50</v>
      </c>
      <c r="E453">
        <v>6</v>
      </c>
      <c r="F453" s="3">
        <v>1632.47</v>
      </c>
      <c r="G453" s="3">
        <f t="shared" si="7"/>
        <v>9794.82</v>
      </c>
    </row>
    <row r="454" spans="1:7" x14ac:dyDescent="0.2">
      <c r="A454" s="1" t="s">
        <v>210</v>
      </c>
      <c r="B454" s="2" t="s">
        <v>19</v>
      </c>
      <c r="C454" s="2" t="s">
        <v>25</v>
      </c>
      <c r="D454" s="2" t="s">
        <v>36</v>
      </c>
      <c r="E454">
        <v>2</v>
      </c>
      <c r="F454" s="3">
        <v>601.42999999999995</v>
      </c>
      <c r="G454" s="3">
        <f t="shared" si="7"/>
        <v>1202.8599999999999</v>
      </c>
    </row>
    <row r="455" spans="1:7" x14ac:dyDescent="0.2">
      <c r="A455" s="1" t="s">
        <v>210</v>
      </c>
      <c r="B455" s="2" t="s">
        <v>8</v>
      </c>
      <c r="C455" s="2" t="s">
        <v>9</v>
      </c>
      <c r="D455" s="2" t="s">
        <v>41</v>
      </c>
      <c r="E455">
        <v>5</v>
      </c>
      <c r="F455" s="3">
        <v>1787.74</v>
      </c>
      <c r="G455" s="3">
        <f t="shared" si="7"/>
        <v>8938.7000000000007</v>
      </c>
    </row>
    <row r="456" spans="1:7" x14ac:dyDescent="0.2">
      <c r="A456" s="1" t="s">
        <v>211</v>
      </c>
      <c r="B456" s="2" t="s">
        <v>19</v>
      </c>
      <c r="C456" s="2" t="s">
        <v>25</v>
      </c>
      <c r="D456" s="2" t="s">
        <v>36</v>
      </c>
      <c r="E456">
        <v>3</v>
      </c>
      <c r="F456" s="3">
        <v>726.77</v>
      </c>
      <c r="G456" s="3">
        <f t="shared" si="7"/>
        <v>2180.31</v>
      </c>
    </row>
    <row r="457" spans="1:7" x14ac:dyDescent="0.2">
      <c r="A457" s="1" t="s">
        <v>211</v>
      </c>
      <c r="B457" s="2" t="s">
        <v>8</v>
      </c>
      <c r="C457" s="2" t="s">
        <v>21</v>
      </c>
      <c r="D457" s="2" t="s">
        <v>37</v>
      </c>
      <c r="E457">
        <v>5</v>
      </c>
      <c r="F457" s="3">
        <v>2471.15</v>
      </c>
      <c r="G457" s="3">
        <f t="shared" si="7"/>
        <v>12355.75</v>
      </c>
    </row>
    <row r="458" spans="1:7" x14ac:dyDescent="0.2">
      <c r="A458" s="1" t="s">
        <v>212</v>
      </c>
      <c r="B458" s="2" t="s">
        <v>16</v>
      </c>
      <c r="C458" s="2" t="s">
        <v>21</v>
      </c>
      <c r="D458" s="2" t="s">
        <v>58</v>
      </c>
      <c r="E458">
        <v>5</v>
      </c>
      <c r="F458" s="3">
        <v>2491.41</v>
      </c>
      <c r="G458" s="3">
        <f t="shared" si="7"/>
        <v>12457.05</v>
      </c>
    </row>
    <row r="459" spans="1:7" x14ac:dyDescent="0.2">
      <c r="A459" s="1" t="s">
        <v>212</v>
      </c>
      <c r="B459" s="2" t="s">
        <v>8</v>
      </c>
      <c r="C459" s="2" t="s">
        <v>9</v>
      </c>
      <c r="D459" s="2" t="s">
        <v>17</v>
      </c>
      <c r="E459">
        <v>7</v>
      </c>
      <c r="F459" s="3">
        <v>6234.27</v>
      </c>
      <c r="G459" s="3">
        <f t="shared" si="7"/>
        <v>43639.89</v>
      </c>
    </row>
    <row r="460" spans="1:7" x14ac:dyDescent="0.2">
      <c r="A460" s="1" t="s">
        <v>212</v>
      </c>
      <c r="B460" s="2" t="s">
        <v>19</v>
      </c>
      <c r="C460" s="2" t="s">
        <v>11</v>
      </c>
      <c r="D460" s="2" t="s">
        <v>48</v>
      </c>
      <c r="E460">
        <v>6</v>
      </c>
      <c r="F460" s="3">
        <v>2895.87</v>
      </c>
      <c r="G460" s="3">
        <f t="shared" si="7"/>
        <v>17375.22</v>
      </c>
    </row>
    <row r="461" spans="1:7" x14ac:dyDescent="0.2">
      <c r="A461" s="1" t="s">
        <v>212</v>
      </c>
      <c r="B461" s="2" t="s">
        <v>13</v>
      </c>
      <c r="C461" s="2" t="s">
        <v>25</v>
      </c>
      <c r="D461" s="2" t="s">
        <v>45</v>
      </c>
      <c r="E461">
        <v>9</v>
      </c>
      <c r="F461" s="3">
        <v>713.77</v>
      </c>
      <c r="G461" s="3">
        <f t="shared" si="7"/>
        <v>6423.93</v>
      </c>
    </row>
    <row r="462" spans="1:7" x14ac:dyDescent="0.2">
      <c r="A462" s="1" t="s">
        <v>212</v>
      </c>
      <c r="B462" s="2" t="s">
        <v>13</v>
      </c>
      <c r="C462" s="2" t="s">
        <v>11</v>
      </c>
      <c r="D462" s="2" t="s">
        <v>12</v>
      </c>
      <c r="E462">
        <v>2</v>
      </c>
      <c r="F462" s="3">
        <v>1655.58</v>
      </c>
      <c r="G462" s="3">
        <f t="shared" si="7"/>
        <v>3311.16</v>
      </c>
    </row>
    <row r="463" spans="1:7" x14ac:dyDescent="0.2">
      <c r="A463" s="1" t="s">
        <v>212</v>
      </c>
      <c r="B463" s="2" t="s">
        <v>13</v>
      </c>
      <c r="C463" s="2" t="s">
        <v>21</v>
      </c>
      <c r="D463" s="2" t="s">
        <v>58</v>
      </c>
      <c r="E463">
        <v>2</v>
      </c>
      <c r="F463" s="3">
        <v>1498.27</v>
      </c>
      <c r="G463" s="3">
        <f t="shared" si="7"/>
        <v>2996.54</v>
      </c>
    </row>
    <row r="464" spans="1:7" x14ac:dyDescent="0.2">
      <c r="A464" s="1" t="s">
        <v>212</v>
      </c>
      <c r="B464" s="2" t="s">
        <v>19</v>
      </c>
      <c r="C464" s="2" t="s">
        <v>9</v>
      </c>
      <c r="D464" s="2" t="s">
        <v>30</v>
      </c>
      <c r="E464">
        <v>1</v>
      </c>
      <c r="F464" s="3">
        <v>6842.92</v>
      </c>
      <c r="G464" s="3">
        <f t="shared" si="7"/>
        <v>6842.92</v>
      </c>
    </row>
    <row r="465" spans="1:7" x14ac:dyDescent="0.2">
      <c r="A465" s="1" t="s">
        <v>212</v>
      </c>
      <c r="B465" s="2" t="s">
        <v>16</v>
      </c>
      <c r="C465" s="2" t="s">
        <v>21</v>
      </c>
      <c r="D465" s="2" t="s">
        <v>28</v>
      </c>
      <c r="E465">
        <v>3</v>
      </c>
      <c r="F465" s="3">
        <v>3148.5</v>
      </c>
      <c r="G465" s="3">
        <f t="shared" si="7"/>
        <v>9445.5</v>
      </c>
    </row>
    <row r="466" spans="1:7" x14ac:dyDescent="0.2">
      <c r="A466" s="1" t="s">
        <v>213</v>
      </c>
      <c r="B466" s="2" t="s">
        <v>16</v>
      </c>
      <c r="C466" s="2" t="s">
        <v>9</v>
      </c>
      <c r="D466" s="2" t="s">
        <v>17</v>
      </c>
      <c r="E466">
        <v>2</v>
      </c>
      <c r="F466" s="3">
        <v>4731.76</v>
      </c>
      <c r="G466" s="3">
        <f t="shared" si="7"/>
        <v>9463.52</v>
      </c>
    </row>
    <row r="467" spans="1:7" x14ac:dyDescent="0.2">
      <c r="A467" s="1" t="s">
        <v>214</v>
      </c>
      <c r="B467" s="2" t="s">
        <v>8</v>
      </c>
      <c r="C467" s="2" t="s">
        <v>25</v>
      </c>
      <c r="D467" s="2" t="s">
        <v>45</v>
      </c>
      <c r="E467">
        <v>1</v>
      </c>
      <c r="F467" s="3">
        <v>1124.8599999999999</v>
      </c>
      <c r="G467" s="3">
        <f t="shared" si="7"/>
        <v>1124.8599999999999</v>
      </c>
    </row>
    <row r="468" spans="1:7" x14ac:dyDescent="0.2">
      <c r="A468" s="1" t="s">
        <v>214</v>
      </c>
      <c r="B468" s="2" t="s">
        <v>16</v>
      </c>
      <c r="C468" s="2" t="s">
        <v>11</v>
      </c>
      <c r="D468" s="2" t="s">
        <v>12</v>
      </c>
      <c r="E468">
        <v>6</v>
      </c>
      <c r="F468" s="3">
        <v>2013.31</v>
      </c>
      <c r="G468" s="3">
        <f t="shared" si="7"/>
        <v>12079.86</v>
      </c>
    </row>
    <row r="469" spans="1:7" x14ac:dyDescent="0.2">
      <c r="A469" s="1" t="s">
        <v>214</v>
      </c>
      <c r="B469" s="2" t="s">
        <v>16</v>
      </c>
      <c r="C469" s="2" t="s">
        <v>25</v>
      </c>
      <c r="D469" s="2" t="s">
        <v>64</v>
      </c>
      <c r="E469">
        <v>5</v>
      </c>
      <c r="F469" s="3">
        <v>946.24</v>
      </c>
      <c r="G469" s="3">
        <f t="shared" si="7"/>
        <v>4731.2</v>
      </c>
    </row>
    <row r="470" spans="1:7" x14ac:dyDescent="0.2">
      <c r="A470" s="1" t="s">
        <v>215</v>
      </c>
      <c r="B470" s="2" t="s">
        <v>19</v>
      </c>
      <c r="C470" s="2" t="s">
        <v>9</v>
      </c>
      <c r="D470" s="2" t="s">
        <v>10</v>
      </c>
      <c r="E470">
        <v>3</v>
      </c>
      <c r="F470" s="3">
        <v>566.67999999999995</v>
      </c>
      <c r="G470" s="3">
        <f t="shared" si="7"/>
        <v>1700.04</v>
      </c>
    </row>
    <row r="471" spans="1:7" x14ac:dyDescent="0.2">
      <c r="A471" s="1" t="s">
        <v>215</v>
      </c>
      <c r="B471" s="2" t="s">
        <v>8</v>
      </c>
      <c r="C471" s="2" t="s">
        <v>11</v>
      </c>
      <c r="D471" s="2" t="s">
        <v>31</v>
      </c>
      <c r="E471">
        <v>8</v>
      </c>
      <c r="F471" s="3">
        <v>639.28</v>
      </c>
      <c r="G471" s="3">
        <f t="shared" si="7"/>
        <v>5114.24</v>
      </c>
    </row>
    <row r="472" spans="1:7" x14ac:dyDescent="0.2">
      <c r="A472" s="1" t="s">
        <v>216</v>
      </c>
      <c r="B472" s="2" t="s">
        <v>16</v>
      </c>
      <c r="C472" s="2" t="s">
        <v>25</v>
      </c>
      <c r="D472" s="2" t="s">
        <v>64</v>
      </c>
      <c r="E472">
        <v>5</v>
      </c>
      <c r="F472" s="3">
        <v>1139.4100000000001</v>
      </c>
      <c r="G472" s="3">
        <f t="shared" si="7"/>
        <v>5697.05</v>
      </c>
    </row>
    <row r="473" spans="1:7" x14ac:dyDescent="0.2">
      <c r="A473" s="1" t="s">
        <v>216</v>
      </c>
      <c r="B473" s="2" t="s">
        <v>8</v>
      </c>
      <c r="C473" s="2" t="s">
        <v>9</v>
      </c>
      <c r="D473" s="2" t="s">
        <v>43</v>
      </c>
      <c r="E473">
        <v>6</v>
      </c>
      <c r="F473" s="3">
        <v>910.21</v>
      </c>
      <c r="G473" s="3">
        <f t="shared" si="7"/>
        <v>5461.26</v>
      </c>
    </row>
    <row r="474" spans="1:7" x14ac:dyDescent="0.2">
      <c r="A474" s="1" t="s">
        <v>217</v>
      </c>
      <c r="B474" s="2" t="s">
        <v>13</v>
      </c>
      <c r="C474" s="2" t="s">
        <v>21</v>
      </c>
      <c r="D474" s="2" t="s">
        <v>22</v>
      </c>
      <c r="E474">
        <v>4</v>
      </c>
      <c r="F474" s="3">
        <v>1326.99</v>
      </c>
      <c r="G474" s="3">
        <f t="shared" si="7"/>
        <v>5307.96</v>
      </c>
    </row>
    <row r="475" spans="1:7" x14ac:dyDescent="0.2">
      <c r="A475" s="1" t="s">
        <v>218</v>
      </c>
      <c r="B475" s="2" t="s">
        <v>16</v>
      </c>
      <c r="C475" s="2" t="s">
        <v>9</v>
      </c>
      <c r="D475" s="2" t="s">
        <v>41</v>
      </c>
      <c r="E475">
        <v>4</v>
      </c>
      <c r="F475" s="3">
        <v>2029.12</v>
      </c>
      <c r="G475" s="3">
        <f t="shared" si="7"/>
        <v>8116.48</v>
      </c>
    </row>
    <row r="476" spans="1:7" x14ac:dyDescent="0.2">
      <c r="A476" s="1" t="s">
        <v>218</v>
      </c>
      <c r="B476" s="2" t="s">
        <v>13</v>
      </c>
      <c r="C476" s="2" t="s">
        <v>9</v>
      </c>
      <c r="D476" s="2" t="s">
        <v>10</v>
      </c>
      <c r="E476">
        <v>4</v>
      </c>
      <c r="F476" s="3">
        <v>437.34</v>
      </c>
      <c r="G476" s="3">
        <f t="shared" si="7"/>
        <v>1749.36</v>
      </c>
    </row>
    <row r="477" spans="1:7" x14ac:dyDescent="0.2">
      <c r="A477" s="1" t="s">
        <v>218</v>
      </c>
      <c r="B477" s="2" t="s">
        <v>16</v>
      </c>
      <c r="C477" s="2" t="s">
        <v>11</v>
      </c>
      <c r="D477" s="2" t="s">
        <v>12</v>
      </c>
      <c r="E477">
        <v>4</v>
      </c>
      <c r="F477" s="3">
        <v>2718.54</v>
      </c>
      <c r="G477" s="3">
        <f t="shared" si="7"/>
        <v>10874.16</v>
      </c>
    </row>
    <row r="478" spans="1:7" x14ac:dyDescent="0.2">
      <c r="A478" s="1" t="s">
        <v>219</v>
      </c>
      <c r="B478" s="2" t="s">
        <v>13</v>
      </c>
      <c r="C478" s="2" t="s">
        <v>9</v>
      </c>
      <c r="D478" s="2" t="s">
        <v>43</v>
      </c>
      <c r="E478">
        <v>2</v>
      </c>
      <c r="F478" s="3">
        <v>862.44</v>
      </c>
      <c r="G478" s="3">
        <f t="shared" si="7"/>
        <v>1724.88</v>
      </c>
    </row>
    <row r="479" spans="1:7" x14ac:dyDescent="0.2">
      <c r="A479" s="1" t="s">
        <v>219</v>
      </c>
      <c r="B479" s="2" t="s">
        <v>13</v>
      </c>
      <c r="C479" s="2" t="s">
        <v>9</v>
      </c>
      <c r="D479" s="2" t="s">
        <v>43</v>
      </c>
      <c r="E479">
        <v>5</v>
      </c>
      <c r="F479" s="3">
        <v>1268.72</v>
      </c>
      <c r="G479" s="3">
        <f t="shared" si="7"/>
        <v>6343.6</v>
      </c>
    </row>
    <row r="480" spans="1:7" x14ac:dyDescent="0.2">
      <c r="A480" s="1" t="s">
        <v>219</v>
      </c>
      <c r="B480" s="2" t="s">
        <v>16</v>
      </c>
      <c r="C480" s="2" t="s">
        <v>11</v>
      </c>
      <c r="D480" s="2" t="s">
        <v>31</v>
      </c>
      <c r="E480">
        <v>8</v>
      </c>
      <c r="F480" s="3">
        <v>590.94000000000005</v>
      </c>
      <c r="G480" s="3">
        <f t="shared" si="7"/>
        <v>4727.5200000000004</v>
      </c>
    </row>
    <row r="481" spans="1:7" x14ac:dyDescent="0.2">
      <c r="A481" s="1" t="s">
        <v>219</v>
      </c>
      <c r="B481" s="2" t="s">
        <v>13</v>
      </c>
      <c r="C481" s="2" t="s">
        <v>21</v>
      </c>
      <c r="D481" s="2" t="s">
        <v>22</v>
      </c>
      <c r="E481">
        <v>1</v>
      </c>
      <c r="F481" s="3">
        <v>832.9</v>
      </c>
      <c r="G481" s="3">
        <f t="shared" si="7"/>
        <v>832.9</v>
      </c>
    </row>
    <row r="482" spans="1:7" x14ac:dyDescent="0.2">
      <c r="A482" s="1" t="s">
        <v>220</v>
      </c>
      <c r="B482" s="2" t="s">
        <v>16</v>
      </c>
      <c r="C482" s="2" t="s">
        <v>21</v>
      </c>
      <c r="D482" s="2" t="s">
        <v>58</v>
      </c>
      <c r="E482">
        <v>8</v>
      </c>
      <c r="F482" s="3">
        <v>2104</v>
      </c>
      <c r="G482" s="3">
        <f t="shared" si="7"/>
        <v>16832</v>
      </c>
    </row>
    <row r="483" spans="1:7" x14ac:dyDescent="0.2">
      <c r="A483" s="1" t="s">
        <v>220</v>
      </c>
      <c r="B483" s="2" t="s">
        <v>16</v>
      </c>
      <c r="C483" s="2" t="s">
        <v>9</v>
      </c>
      <c r="D483" s="2" t="s">
        <v>17</v>
      </c>
      <c r="E483">
        <v>7</v>
      </c>
      <c r="F483" s="3">
        <v>5726.52</v>
      </c>
      <c r="G483" s="3">
        <f t="shared" si="7"/>
        <v>40085.64</v>
      </c>
    </row>
    <row r="484" spans="1:7" x14ac:dyDescent="0.2">
      <c r="A484" s="1" t="s">
        <v>220</v>
      </c>
      <c r="B484" s="2" t="s">
        <v>19</v>
      </c>
      <c r="C484" s="2" t="s">
        <v>11</v>
      </c>
      <c r="D484" s="2" t="s">
        <v>12</v>
      </c>
      <c r="E484">
        <v>7</v>
      </c>
      <c r="F484" s="3">
        <v>1803.82</v>
      </c>
      <c r="G484" s="3">
        <f t="shared" si="7"/>
        <v>12626.74</v>
      </c>
    </row>
    <row r="485" spans="1:7" x14ac:dyDescent="0.2">
      <c r="A485" s="1" t="s">
        <v>220</v>
      </c>
      <c r="B485" s="2" t="s">
        <v>16</v>
      </c>
      <c r="C485" s="2" t="s">
        <v>11</v>
      </c>
      <c r="D485" s="2" t="s">
        <v>31</v>
      </c>
      <c r="E485">
        <v>8</v>
      </c>
      <c r="F485" s="3">
        <v>624.09</v>
      </c>
      <c r="G485" s="3">
        <f t="shared" si="7"/>
        <v>4992.72</v>
      </c>
    </row>
    <row r="486" spans="1:7" x14ac:dyDescent="0.2">
      <c r="A486" s="1" t="s">
        <v>221</v>
      </c>
      <c r="B486" s="2" t="s">
        <v>8</v>
      </c>
      <c r="C486" s="2" t="s">
        <v>21</v>
      </c>
      <c r="D486" s="2" t="s">
        <v>27</v>
      </c>
      <c r="E486">
        <v>6</v>
      </c>
      <c r="F486" s="3">
        <v>1190.95</v>
      </c>
      <c r="G486" s="3">
        <f t="shared" si="7"/>
        <v>7145.7000000000007</v>
      </c>
    </row>
    <row r="487" spans="1:7" x14ac:dyDescent="0.2">
      <c r="A487" s="1" t="s">
        <v>221</v>
      </c>
      <c r="B487" s="2" t="s">
        <v>8</v>
      </c>
      <c r="C487" s="2" t="s">
        <v>25</v>
      </c>
      <c r="D487" s="2" t="s">
        <v>45</v>
      </c>
      <c r="E487">
        <v>10</v>
      </c>
      <c r="F487" s="3">
        <v>982.93</v>
      </c>
      <c r="G487" s="3">
        <f t="shared" si="7"/>
        <v>9829.2999999999993</v>
      </c>
    </row>
    <row r="488" spans="1:7" x14ac:dyDescent="0.2">
      <c r="A488" s="1" t="s">
        <v>221</v>
      </c>
      <c r="B488" s="2" t="s">
        <v>8</v>
      </c>
      <c r="C488" s="2" t="s">
        <v>9</v>
      </c>
      <c r="D488" s="2" t="s">
        <v>17</v>
      </c>
      <c r="E488">
        <v>3</v>
      </c>
      <c r="F488" s="3">
        <v>5505.05</v>
      </c>
      <c r="G488" s="3">
        <f t="shared" si="7"/>
        <v>16515.150000000001</v>
      </c>
    </row>
    <row r="489" spans="1:7" x14ac:dyDescent="0.2">
      <c r="A489" s="1" t="s">
        <v>222</v>
      </c>
      <c r="B489" s="2" t="s">
        <v>13</v>
      </c>
      <c r="C489" s="2" t="s">
        <v>21</v>
      </c>
      <c r="D489" s="2" t="s">
        <v>22</v>
      </c>
      <c r="E489">
        <v>1</v>
      </c>
      <c r="F489" s="3">
        <v>831.31</v>
      </c>
      <c r="G489" s="3">
        <f t="shared" si="7"/>
        <v>831.31</v>
      </c>
    </row>
    <row r="490" spans="1:7" x14ac:dyDescent="0.2">
      <c r="A490" s="1" t="s">
        <v>222</v>
      </c>
      <c r="B490" s="2" t="s">
        <v>13</v>
      </c>
      <c r="C490" s="2" t="s">
        <v>9</v>
      </c>
      <c r="D490" s="2" t="s">
        <v>41</v>
      </c>
      <c r="E490">
        <v>4</v>
      </c>
      <c r="F490" s="3">
        <v>1707.53</v>
      </c>
      <c r="G490" s="3">
        <f t="shared" si="7"/>
        <v>6830.12</v>
      </c>
    </row>
    <row r="491" spans="1:7" x14ac:dyDescent="0.2">
      <c r="A491" s="1" t="s">
        <v>222</v>
      </c>
      <c r="B491" s="2" t="s">
        <v>13</v>
      </c>
      <c r="C491" s="2" t="s">
        <v>25</v>
      </c>
      <c r="D491" s="2" t="s">
        <v>45</v>
      </c>
      <c r="E491">
        <v>1</v>
      </c>
      <c r="F491" s="3">
        <v>873.65</v>
      </c>
      <c r="G491" s="3">
        <f t="shared" si="7"/>
        <v>873.65</v>
      </c>
    </row>
    <row r="492" spans="1:7" x14ac:dyDescent="0.2">
      <c r="A492" s="1" t="s">
        <v>223</v>
      </c>
      <c r="B492" s="2" t="s">
        <v>16</v>
      </c>
      <c r="C492" s="2" t="s">
        <v>11</v>
      </c>
      <c r="D492" s="2" t="s">
        <v>12</v>
      </c>
      <c r="E492">
        <v>1</v>
      </c>
      <c r="F492" s="3">
        <v>3041.78</v>
      </c>
      <c r="G492" s="3">
        <f t="shared" si="7"/>
        <v>3041.78</v>
      </c>
    </row>
    <row r="493" spans="1:7" x14ac:dyDescent="0.2">
      <c r="A493" s="1" t="s">
        <v>223</v>
      </c>
      <c r="B493" s="2" t="s">
        <v>16</v>
      </c>
      <c r="C493" s="2" t="s">
        <v>21</v>
      </c>
      <c r="D493" s="2" t="s">
        <v>58</v>
      </c>
      <c r="E493">
        <v>4</v>
      </c>
      <c r="F493" s="3">
        <v>1918.73</v>
      </c>
      <c r="G493" s="3">
        <f t="shared" si="7"/>
        <v>7674.92</v>
      </c>
    </row>
    <row r="494" spans="1:7" x14ac:dyDescent="0.2">
      <c r="A494" s="1" t="s">
        <v>224</v>
      </c>
      <c r="B494" s="2" t="s">
        <v>13</v>
      </c>
      <c r="C494" s="2" t="s">
        <v>11</v>
      </c>
      <c r="D494" s="2" t="s">
        <v>31</v>
      </c>
      <c r="E494">
        <v>5</v>
      </c>
      <c r="F494" s="3">
        <v>468.5</v>
      </c>
      <c r="G494" s="3">
        <f t="shared" si="7"/>
        <v>2342.5</v>
      </c>
    </row>
    <row r="495" spans="1:7" x14ac:dyDescent="0.2">
      <c r="A495" s="1" t="s">
        <v>224</v>
      </c>
      <c r="B495" s="2" t="s">
        <v>19</v>
      </c>
      <c r="C495" s="2" t="s">
        <v>25</v>
      </c>
      <c r="D495" s="2" t="s">
        <v>50</v>
      </c>
      <c r="E495">
        <v>4</v>
      </c>
      <c r="F495" s="3">
        <v>1828.49</v>
      </c>
      <c r="G495" s="3">
        <f t="shared" si="7"/>
        <v>7313.96</v>
      </c>
    </row>
    <row r="496" spans="1:7" x14ac:dyDescent="0.2">
      <c r="A496" s="1" t="s">
        <v>224</v>
      </c>
      <c r="B496" s="2" t="s">
        <v>13</v>
      </c>
      <c r="C496" s="2" t="s">
        <v>21</v>
      </c>
      <c r="D496" s="2" t="s">
        <v>37</v>
      </c>
      <c r="E496">
        <v>3</v>
      </c>
      <c r="F496" s="3">
        <v>2706.32</v>
      </c>
      <c r="G496" s="3">
        <f t="shared" si="7"/>
        <v>8118.9600000000009</v>
      </c>
    </row>
    <row r="497" spans="1:7" x14ac:dyDescent="0.2">
      <c r="A497" s="1" t="s">
        <v>224</v>
      </c>
      <c r="B497" s="2" t="s">
        <v>8</v>
      </c>
      <c r="C497" s="2" t="s">
        <v>9</v>
      </c>
      <c r="D497" s="2" t="s">
        <v>43</v>
      </c>
      <c r="E497">
        <v>9</v>
      </c>
      <c r="F497" s="3">
        <v>1237.25</v>
      </c>
      <c r="G497" s="3">
        <f t="shared" si="7"/>
        <v>11135.25</v>
      </c>
    </row>
    <row r="498" spans="1:7" x14ac:dyDescent="0.2">
      <c r="A498" s="1" t="s">
        <v>224</v>
      </c>
      <c r="B498" s="2" t="s">
        <v>19</v>
      </c>
      <c r="C498" s="2" t="s">
        <v>21</v>
      </c>
      <c r="D498" s="2" t="s">
        <v>58</v>
      </c>
      <c r="E498">
        <v>3</v>
      </c>
      <c r="F498" s="3">
        <v>1393.19</v>
      </c>
      <c r="G498" s="3">
        <f t="shared" si="7"/>
        <v>4179.57</v>
      </c>
    </row>
    <row r="499" spans="1:7" x14ac:dyDescent="0.2">
      <c r="A499" s="1" t="s">
        <v>225</v>
      </c>
      <c r="B499" s="2" t="s">
        <v>8</v>
      </c>
      <c r="C499" s="2" t="s">
        <v>11</v>
      </c>
      <c r="D499" s="2" t="s">
        <v>14</v>
      </c>
      <c r="E499">
        <v>2</v>
      </c>
      <c r="F499" s="3">
        <v>1244.29</v>
      </c>
      <c r="G499" s="3">
        <f t="shared" si="7"/>
        <v>2488.58</v>
      </c>
    </row>
    <row r="500" spans="1:7" x14ac:dyDescent="0.2">
      <c r="A500" s="1" t="s">
        <v>225</v>
      </c>
      <c r="B500" s="2" t="s">
        <v>16</v>
      </c>
      <c r="C500" s="2" t="s">
        <v>9</v>
      </c>
      <c r="D500" s="2" t="s">
        <v>30</v>
      </c>
      <c r="E500">
        <v>1</v>
      </c>
      <c r="F500" s="3">
        <v>8857.7900000000009</v>
      </c>
      <c r="G500" s="3">
        <f t="shared" si="7"/>
        <v>8857.7900000000009</v>
      </c>
    </row>
    <row r="501" spans="1:7" x14ac:dyDescent="0.2">
      <c r="A501" s="1" t="s">
        <v>225</v>
      </c>
      <c r="B501" s="2" t="s">
        <v>16</v>
      </c>
      <c r="C501" s="2" t="s">
        <v>21</v>
      </c>
      <c r="D501" s="2" t="s">
        <v>58</v>
      </c>
      <c r="E501">
        <v>3</v>
      </c>
      <c r="F501" s="3">
        <v>2322.2800000000002</v>
      </c>
      <c r="G501" s="3">
        <f t="shared" si="7"/>
        <v>6966.84</v>
      </c>
    </row>
    <row r="502" spans="1:7" x14ac:dyDescent="0.2">
      <c r="A502" s="1" t="s">
        <v>226</v>
      </c>
      <c r="B502" s="2" t="s">
        <v>13</v>
      </c>
      <c r="C502" s="2" t="s">
        <v>11</v>
      </c>
      <c r="D502" s="2" t="s">
        <v>12</v>
      </c>
      <c r="E502">
        <v>8</v>
      </c>
      <c r="F502" s="3">
        <v>2983.79</v>
      </c>
      <c r="G502" s="3">
        <f t="shared" si="7"/>
        <v>23870.32</v>
      </c>
    </row>
    <row r="503" spans="1:7" x14ac:dyDescent="0.2">
      <c r="A503" s="1" t="s">
        <v>226</v>
      </c>
      <c r="B503" s="2" t="s">
        <v>13</v>
      </c>
      <c r="C503" s="2" t="s">
        <v>25</v>
      </c>
      <c r="D503" s="2" t="s">
        <v>26</v>
      </c>
      <c r="E503">
        <v>8</v>
      </c>
      <c r="F503" s="3">
        <v>1347.88</v>
      </c>
      <c r="G503" s="3">
        <f t="shared" si="7"/>
        <v>10783.04</v>
      </c>
    </row>
    <row r="504" spans="1:7" x14ac:dyDescent="0.2">
      <c r="A504" s="1" t="s">
        <v>227</v>
      </c>
      <c r="B504" s="2" t="s">
        <v>16</v>
      </c>
      <c r="C504" s="2" t="s">
        <v>21</v>
      </c>
      <c r="D504" s="2" t="s">
        <v>37</v>
      </c>
      <c r="E504">
        <v>3</v>
      </c>
      <c r="F504" s="3">
        <v>2287.66</v>
      </c>
      <c r="G504" s="3">
        <f t="shared" si="7"/>
        <v>6862.98</v>
      </c>
    </row>
    <row r="505" spans="1:7" x14ac:dyDescent="0.2">
      <c r="A505" s="1" t="s">
        <v>227</v>
      </c>
      <c r="B505" s="2" t="s">
        <v>13</v>
      </c>
      <c r="C505" s="2" t="s">
        <v>9</v>
      </c>
      <c r="D505" s="2" t="s">
        <v>41</v>
      </c>
      <c r="E505">
        <v>8</v>
      </c>
      <c r="F505" s="3">
        <v>1870.63</v>
      </c>
      <c r="G505" s="3">
        <f t="shared" si="7"/>
        <v>14965.04</v>
      </c>
    </row>
    <row r="506" spans="1:7" x14ac:dyDescent="0.2">
      <c r="A506" s="1" t="s">
        <v>228</v>
      </c>
      <c r="B506" s="2" t="s">
        <v>13</v>
      </c>
      <c r="C506" s="2" t="s">
        <v>9</v>
      </c>
      <c r="D506" s="2" t="s">
        <v>41</v>
      </c>
      <c r="E506">
        <v>6</v>
      </c>
      <c r="F506" s="3">
        <v>1440.62</v>
      </c>
      <c r="G506" s="3">
        <f t="shared" si="7"/>
        <v>8643.7199999999993</v>
      </c>
    </row>
    <row r="507" spans="1:7" x14ac:dyDescent="0.2">
      <c r="A507" s="1" t="s">
        <v>228</v>
      </c>
      <c r="B507" s="2" t="s">
        <v>8</v>
      </c>
      <c r="C507" s="2" t="s">
        <v>11</v>
      </c>
      <c r="D507" s="2" t="s">
        <v>12</v>
      </c>
      <c r="E507">
        <v>5</v>
      </c>
      <c r="F507" s="3">
        <v>2061.4499999999998</v>
      </c>
      <c r="G507" s="3">
        <f t="shared" si="7"/>
        <v>10307.25</v>
      </c>
    </row>
    <row r="508" spans="1:7" x14ac:dyDescent="0.2">
      <c r="A508" s="1" t="s">
        <v>229</v>
      </c>
      <c r="B508" s="2" t="s">
        <v>13</v>
      </c>
      <c r="C508" s="2" t="s">
        <v>25</v>
      </c>
      <c r="D508" s="2" t="s">
        <v>36</v>
      </c>
      <c r="E508">
        <v>6</v>
      </c>
      <c r="F508" s="3">
        <v>717.79</v>
      </c>
      <c r="G508" s="3">
        <f t="shared" si="7"/>
        <v>4306.74</v>
      </c>
    </row>
    <row r="509" spans="1:7" x14ac:dyDescent="0.2">
      <c r="A509" s="1" t="s">
        <v>230</v>
      </c>
      <c r="B509" s="2" t="s">
        <v>8</v>
      </c>
      <c r="C509" s="2" t="s">
        <v>9</v>
      </c>
      <c r="D509" s="2" t="s">
        <v>41</v>
      </c>
      <c r="E509">
        <v>3</v>
      </c>
      <c r="F509" s="3">
        <v>2091.96</v>
      </c>
      <c r="G509" s="3">
        <f t="shared" si="7"/>
        <v>6275.88</v>
      </c>
    </row>
    <row r="510" spans="1:7" x14ac:dyDescent="0.2">
      <c r="A510" s="1" t="s">
        <v>230</v>
      </c>
      <c r="B510" s="2" t="s">
        <v>8</v>
      </c>
      <c r="C510" s="2" t="s">
        <v>11</v>
      </c>
      <c r="D510" s="2" t="s">
        <v>12</v>
      </c>
      <c r="E510">
        <v>8</v>
      </c>
      <c r="F510" s="3">
        <v>1651.86</v>
      </c>
      <c r="G510" s="3">
        <f t="shared" si="7"/>
        <v>13214.88</v>
      </c>
    </row>
    <row r="511" spans="1:7" x14ac:dyDescent="0.2">
      <c r="A511" s="1" t="s">
        <v>230</v>
      </c>
      <c r="B511" s="2" t="s">
        <v>8</v>
      </c>
      <c r="C511" s="2" t="s">
        <v>25</v>
      </c>
      <c r="D511" s="2" t="s">
        <v>64</v>
      </c>
      <c r="E511">
        <v>7</v>
      </c>
      <c r="F511" s="3">
        <v>1054.3499999999999</v>
      </c>
      <c r="G511" s="3">
        <f t="shared" si="7"/>
        <v>7380.4499999999989</v>
      </c>
    </row>
    <row r="512" spans="1:7" x14ac:dyDescent="0.2">
      <c r="A512" s="1" t="s">
        <v>230</v>
      </c>
      <c r="B512" s="2" t="s">
        <v>16</v>
      </c>
      <c r="C512" s="2" t="s">
        <v>9</v>
      </c>
      <c r="D512" s="2" t="s">
        <v>17</v>
      </c>
      <c r="E512">
        <v>3</v>
      </c>
      <c r="F512" s="3">
        <v>4868.88</v>
      </c>
      <c r="G512" s="3">
        <f t="shared" si="7"/>
        <v>14606.64</v>
      </c>
    </row>
    <row r="513" spans="1:7" x14ac:dyDescent="0.2">
      <c r="A513" s="1" t="s">
        <v>231</v>
      </c>
      <c r="B513" s="2" t="s">
        <v>8</v>
      </c>
      <c r="C513" s="2" t="s">
        <v>11</v>
      </c>
      <c r="D513" s="2" t="s">
        <v>12</v>
      </c>
      <c r="E513">
        <v>6</v>
      </c>
      <c r="F513" s="3">
        <v>2074.1799999999998</v>
      </c>
      <c r="G513" s="3">
        <f t="shared" si="7"/>
        <v>12445.079999999998</v>
      </c>
    </row>
    <row r="514" spans="1:7" x14ac:dyDescent="0.2">
      <c r="A514" s="1" t="s">
        <v>232</v>
      </c>
      <c r="B514" s="2" t="s">
        <v>16</v>
      </c>
      <c r="C514" s="2" t="s">
        <v>11</v>
      </c>
      <c r="D514" s="2" t="s">
        <v>48</v>
      </c>
      <c r="E514">
        <v>3</v>
      </c>
      <c r="F514" s="3">
        <v>1907.11</v>
      </c>
      <c r="G514" s="3">
        <f t="shared" ref="G514:G577" si="8">E514*F514</f>
        <v>5721.33</v>
      </c>
    </row>
    <row r="515" spans="1:7" x14ac:dyDescent="0.2">
      <c r="A515" s="1" t="s">
        <v>233</v>
      </c>
      <c r="B515" s="2" t="s">
        <v>8</v>
      </c>
      <c r="C515" s="2" t="s">
        <v>9</v>
      </c>
      <c r="D515" s="2" t="s">
        <v>41</v>
      </c>
      <c r="E515">
        <v>8</v>
      </c>
      <c r="F515" s="3">
        <v>1708.64</v>
      </c>
      <c r="G515" s="3">
        <f t="shared" si="8"/>
        <v>13669.12</v>
      </c>
    </row>
    <row r="516" spans="1:7" x14ac:dyDescent="0.2">
      <c r="A516" s="1" t="s">
        <v>233</v>
      </c>
      <c r="B516" s="2" t="s">
        <v>16</v>
      </c>
      <c r="C516" s="2" t="s">
        <v>25</v>
      </c>
      <c r="D516" s="2" t="s">
        <v>36</v>
      </c>
      <c r="E516">
        <v>4</v>
      </c>
      <c r="F516" s="3">
        <v>773.84</v>
      </c>
      <c r="G516" s="3">
        <f t="shared" si="8"/>
        <v>3095.36</v>
      </c>
    </row>
    <row r="517" spans="1:7" x14ac:dyDescent="0.2">
      <c r="A517" s="1" t="s">
        <v>234</v>
      </c>
      <c r="B517" s="2" t="s">
        <v>13</v>
      </c>
      <c r="C517" s="2" t="s">
        <v>11</v>
      </c>
      <c r="D517" s="2" t="s">
        <v>31</v>
      </c>
      <c r="E517">
        <v>7</v>
      </c>
      <c r="F517" s="3">
        <v>689.12</v>
      </c>
      <c r="G517" s="3">
        <f t="shared" si="8"/>
        <v>4823.84</v>
      </c>
    </row>
    <row r="518" spans="1:7" x14ac:dyDescent="0.2">
      <c r="A518" s="1" t="s">
        <v>234</v>
      </c>
      <c r="B518" s="2" t="s">
        <v>8</v>
      </c>
      <c r="C518" s="2" t="s">
        <v>11</v>
      </c>
      <c r="D518" s="2" t="s">
        <v>31</v>
      </c>
      <c r="E518">
        <v>8</v>
      </c>
      <c r="F518" s="3">
        <v>390.6</v>
      </c>
      <c r="G518" s="3">
        <f t="shared" si="8"/>
        <v>3124.8</v>
      </c>
    </row>
    <row r="519" spans="1:7" x14ac:dyDescent="0.2">
      <c r="A519" s="1" t="s">
        <v>235</v>
      </c>
      <c r="B519" s="2" t="s">
        <v>8</v>
      </c>
      <c r="C519" s="2" t="s">
        <v>25</v>
      </c>
      <c r="D519" s="2" t="s">
        <v>26</v>
      </c>
      <c r="E519">
        <v>1</v>
      </c>
      <c r="F519" s="3">
        <v>1953.24</v>
      </c>
      <c r="G519" s="3">
        <f t="shared" si="8"/>
        <v>1953.24</v>
      </c>
    </row>
    <row r="520" spans="1:7" x14ac:dyDescent="0.2">
      <c r="A520" s="1" t="s">
        <v>235</v>
      </c>
      <c r="B520" s="2" t="s">
        <v>16</v>
      </c>
      <c r="C520" s="2" t="s">
        <v>25</v>
      </c>
      <c r="D520" s="2" t="s">
        <v>50</v>
      </c>
      <c r="E520">
        <v>8</v>
      </c>
      <c r="F520" s="3">
        <v>2646.3</v>
      </c>
      <c r="G520" s="3">
        <f t="shared" si="8"/>
        <v>21170.400000000001</v>
      </c>
    </row>
    <row r="521" spans="1:7" x14ac:dyDescent="0.2">
      <c r="A521" s="1" t="s">
        <v>235</v>
      </c>
      <c r="B521" s="2" t="s">
        <v>13</v>
      </c>
      <c r="C521" s="2" t="s">
        <v>9</v>
      </c>
      <c r="D521" s="2" t="s">
        <v>41</v>
      </c>
      <c r="E521">
        <v>6</v>
      </c>
      <c r="F521" s="3">
        <v>1456.02</v>
      </c>
      <c r="G521" s="3">
        <f t="shared" si="8"/>
        <v>8736.119999999999</v>
      </c>
    </row>
    <row r="522" spans="1:7" x14ac:dyDescent="0.2">
      <c r="A522" s="1" t="s">
        <v>235</v>
      </c>
      <c r="B522" s="2" t="s">
        <v>16</v>
      </c>
      <c r="C522" s="2" t="s">
        <v>21</v>
      </c>
      <c r="D522" s="2" t="s">
        <v>28</v>
      </c>
      <c r="E522">
        <v>5</v>
      </c>
      <c r="F522" s="3">
        <v>3278.99</v>
      </c>
      <c r="G522" s="3">
        <f t="shared" si="8"/>
        <v>16394.949999999997</v>
      </c>
    </row>
    <row r="523" spans="1:7" x14ac:dyDescent="0.2">
      <c r="A523" s="1" t="s">
        <v>235</v>
      </c>
      <c r="B523" s="2" t="s">
        <v>8</v>
      </c>
      <c r="C523" s="2" t="s">
        <v>21</v>
      </c>
      <c r="D523" s="2" t="s">
        <v>28</v>
      </c>
      <c r="E523">
        <v>1</v>
      </c>
      <c r="F523" s="3">
        <v>4474.32</v>
      </c>
      <c r="G523" s="3">
        <f t="shared" si="8"/>
        <v>4474.32</v>
      </c>
    </row>
    <row r="524" spans="1:7" x14ac:dyDescent="0.2">
      <c r="A524" s="1" t="s">
        <v>235</v>
      </c>
      <c r="B524" s="2" t="s">
        <v>19</v>
      </c>
      <c r="C524" s="2" t="s">
        <v>11</v>
      </c>
      <c r="D524" s="2" t="s">
        <v>31</v>
      </c>
      <c r="E524">
        <v>5</v>
      </c>
      <c r="F524" s="3">
        <v>603.54</v>
      </c>
      <c r="G524" s="3">
        <f t="shared" si="8"/>
        <v>3017.7</v>
      </c>
    </row>
    <row r="525" spans="1:7" x14ac:dyDescent="0.2">
      <c r="A525" s="1" t="s">
        <v>236</v>
      </c>
      <c r="B525" s="2" t="s">
        <v>16</v>
      </c>
      <c r="C525" s="2" t="s">
        <v>21</v>
      </c>
      <c r="D525" s="2" t="s">
        <v>22</v>
      </c>
      <c r="E525">
        <v>1</v>
      </c>
      <c r="F525" s="3">
        <v>1205.71</v>
      </c>
      <c r="G525" s="3">
        <f t="shared" si="8"/>
        <v>1205.71</v>
      </c>
    </row>
    <row r="526" spans="1:7" x14ac:dyDescent="0.2">
      <c r="A526" s="1" t="s">
        <v>236</v>
      </c>
      <c r="B526" s="2" t="s">
        <v>13</v>
      </c>
      <c r="C526" s="2" t="s">
        <v>21</v>
      </c>
      <c r="D526" s="2" t="s">
        <v>22</v>
      </c>
      <c r="E526">
        <v>3</v>
      </c>
      <c r="F526" s="3">
        <v>763.09</v>
      </c>
      <c r="G526" s="3">
        <f t="shared" si="8"/>
        <v>2289.27</v>
      </c>
    </row>
    <row r="527" spans="1:7" x14ac:dyDescent="0.2">
      <c r="A527" s="1" t="s">
        <v>236</v>
      </c>
      <c r="B527" s="2" t="s">
        <v>16</v>
      </c>
      <c r="C527" s="2" t="s">
        <v>25</v>
      </c>
      <c r="D527" s="2" t="s">
        <v>26</v>
      </c>
      <c r="E527">
        <v>8</v>
      </c>
      <c r="F527" s="3">
        <v>1799.69</v>
      </c>
      <c r="G527" s="3">
        <f t="shared" si="8"/>
        <v>14397.52</v>
      </c>
    </row>
    <row r="528" spans="1:7" x14ac:dyDescent="0.2">
      <c r="A528" s="1" t="s">
        <v>236</v>
      </c>
      <c r="B528" s="2" t="s">
        <v>8</v>
      </c>
      <c r="C528" s="2" t="s">
        <v>11</v>
      </c>
      <c r="D528" s="2" t="s">
        <v>12</v>
      </c>
      <c r="E528">
        <v>5</v>
      </c>
      <c r="F528" s="3">
        <v>2006.11</v>
      </c>
      <c r="G528" s="3">
        <f t="shared" si="8"/>
        <v>10030.549999999999</v>
      </c>
    </row>
    <row r="529" spans="1:7" x14ac:dyDescent="0.2">
      <c r="A529" s="1" t="s">
        <v>236</v>
      </c>
      <c r="B529" s="2" t="s">
        <v>8</v>
      </c>
      <c r="C529" s="2" t="s">
        <v>21</v>
      </c>
      <c r="D529" s="2" t="s">
        <v>37</v>
      </c>
      <c r="E529">
        <v>7</v>
      </c>
      <c r="F529" s="3">
        <v>1817.3</v>
      </c>
      <c r="G529" s="3">
        <f t="shared" si="8"/>
        <v>12721.1</v>
      </c>
    </row>
    <row r="530" spans="1:7" x14ac:dyDescent="0.2">
      <c r="A530" s="1" t="s">
        <v>236</v>
      </c>
      <c r="B530" s="2" t="s">
        <v>16</v>
      </c>
      <c r="C530" s="2" t="s">
        <v>25</v>
      </c>
      <c r="D530" s="2" t="s">
        <v>26</v>
      </c>
      <c r="E530">
        <v>5</v>
      </c>
      <c r="F530" s="3">
        <v>1499.75</v>
      </c>
      <c r="G530" s="3">
        <f t="shared" si="8"/>
        <v>7498.75</v>
      </c>
    </row>
    <row r="531" spans="1:7" x14ac:dyDescent="0.2">
      <c r="A531" s="1" t="s">
        <v>237</v>
      </c>
      <c r="B531" s="2" t="s">
        <v>13</v>
      </c>
      <c r="C531" s="2" t="s">
        <v>11</v>
      </c>
      <c r="D531" s="2" t="s">
        <v>48</v>
      </c>
      <c r="E531">
        <v>3</v>
      </c>
      <c r="F531" s="3">
        <v>3117.7</v>
      </c>
      <c r="G531" s="3">
        <f t="shared" si="8"/>
        <v>9353.0999999999985</v>
      </c>
    </row>
    <row r="532" spans="1:7" x14ac:dyDescent="0.2">
      <c r="A532" s="1" t="s">
        <v>237</v>
      </c>
      <c r="B532" s="2" t="s">
        <v>13</v>
      </c>
      <c r="C532" s="2" t="s">
        <v>9</v>
      </c>
      <c r="D532" s="2" t="s">
        <v>10</v>
      </c>
      <c r="E532">
        <v>3</v>
      </c>
      <c r="F532" s="3">
        <v>551.79</v>
      </c>
      <c r="G532" s="3">
        <f t="shared" si="8"/>
        <v>1655.37</v>
      </c>
    </row>
    <row r="533" spans="1:7" x14ac:dyDescent="0.2">
      <c r="A533" s="1" t="s">
        <v>237</v>
      </c>
      <c r="B533" s="2" t="s">
        <v>8</v>
      </c>
      <c r="C533" s="2" t="s">
        <v>11</v>
      </c>
      <c r="D533" s="2" t="s">
        <v>31</v>
      </c>
      <c r="E533">
        <v>2</v>
      </c>
      <c r="F533" s="3">
        <v>532.4</v>
      </c>
      <c r="G533" s="3">
        <f t="shared" si="8"/>
        <v>1064.8</v>
      </c>
    </row>
    <row r="534" spans="1:7" x14ac:dyDescent="0.2">
      <c r="A534" s="1" t="s">
        <v>237</v>
      </c>
      <c r="B534" s="2" t="s">
        <v>8</v>
      </c>
      <c r="C534" s="2" t="s">
        <v>11</v>
      </c>
      <c r="D534" s="2" t="s">
        <v>12</v>
      </c>
      <c r="E534">
        <v>5</v>
      </c>
      <c r="F534" s="3">
        <v>1839.46</v>
      </c>
      <c r="G534" s="3">
        <f t="shared" si="8"/>
        <v>9197.2999999999993</v>
      </c>
    </row>
    <row r="535" spans="1:7" x14ac:dyDescent="0.2">
      <c r="A535" s="1" t="s">
        <v>238</v>
      </c>
      <c r="B535" s="2" t="s">
        <v>13</v>
      </c>
      <c r="C535" s="2" t="s">
        <v>21</v>
      </c>
      <c r="D535" s="2" t="s">
        <v>37</v>
      </c>
      <c r="E535">
        <v>3</v>
      </c>
      <c r="F535" s="3">
        <v>1891.96</v>
      </c>
      <c r="G535" s="3">
        <f t="shared" si="8"/>
        <v>5675.88</v>
      </c>
    </row>
    <row r="536" spans="1:7" x14ac:dyDescent="0.2">
      <c r="A536" s="1" t="s">
        <v>238</v>
      </c>
      <c r="B536" s="2" t="s">
        <v>19</v>
      </c>
      <c r="C536" s="2" t="s">
        <v>21</v>
      </c>
      <c r="D536" s="2" t="s">
        <v>37</v>
      </c>
      <c r="E536">
        <v>2</v>
      </c>
      <c r="F536" s="3">
        <v>3183.42</v>
      </c>
      <c r="G536" s="3">
        <f t="shared" si="8"/>
        <v>6366.84</v>
      </c>
    </row>
    <row r="537" spans="1:7" x14ac:dyDescent="0.2">
      <c r="A537" s="1" t="s">
        <v>239</v>
      </c>
      <c r="B537" s="2" t="s">
        <v>13</v>
      </c>
      <c r="C537" s="2" t="s">
        <v>21</v>
      </c>
      <c r="D537" s="2" t="s">
        <v>58</v>
      </c>
      <c r="E537">
        <v>5</v>
      </c>
      <c r="F537" s="3">
        <v>1561.99</v>
      </c>
      <c r="G537" s="3">
        <f t="shared" si="8"/>
        <v>7809.95</v>
      </c>
    </row>
    <row r="538" spans="1:7" x14ac:dyDescent="0.2">
      <c r="A538" s="1" t="s">
        <v>239</v>
      </c>
      <c r="B538" s="2" t="s">
        <v>19</v>
      </c>
      <c r="C538" s="2" t="s">
        <v>21</v>
      </c>
      <c r="D538" s="2" t="s">
        <v>27</v>
      </c>
      <c r="E538">
        <v>7</v>
      </c>
      <c r="F538" s="3">
        <v>1468.54</v>
      </c>
      <c r="G538" s="3">
        <f t="shared" si="8"/>
        <v>10279.779999999999</v>
      </c>
    </row>
    <row r="539" spans="1:7" x14ac:dyDescent="0.2">
      <c r="A539" s="1" t="s">
        <v>239</v>
      </c>
      <c r="B539" s="2" t="s">
        <v>8</v>
      </c>
      <c r="C539" s="2" t="s">
        <v>9</v>
      </c>
      <c r="D539" s="2" t="s">
        <v>43</v>
      </c>
      <c r="E539">
        <v>3</v>
      </c>
      <c r="F539" s="3">
        <v>1272.3</v>
      </c>
      <c r="G539" s="3">
        <f t="shared" si="8"/>
        <v>3816.8999999999996</v>
      </c>
    </row>
    <row r="540" spans="1:7" x14ac:dyDescent="0.2">
      <c r="A540" s="1" t="s">
        <v>240</v>
      </c>
      <c r="B540" s="2" t="s">
        <v>16</v>
      </c>
      <c r="C540" s="2" t="s">
        <v>21</v>
      </c>
      <c r="D540" s="2" t="s">
        <v>58</v>
      </c>
      <c r="E540">
        <v>2</v>
      </c>
      <c r="F540" s="3">
        <v>2007.28</v>
      </c>
      <c r="G540" s="3">
        <f t="shared" si="8"/>
        <v>4014.56</v>
      </c>
    </row>
    <row r="541" spans="1:7" x14ac:dyDescent="0.2">
      <c r="A541" s="1" t="s">
        <v>240</v>
      </c>
      <c r="B541" s="2" t="s">
        <v>16</v>
      </c>
      <c r="C541" s="2" t="s">
        <v>25</v>
      </c>
      <c r="D541" s="2" t="s">
        <v>64</v>
      </c>
      <c r="E541">
        <v>3</v>
      </c>
      <c r="F541" s="3">
        <v>1567.47</v>
      </c>
      <c r="G541" s="3">
        <f t="shared" si="8"/>
        <v>4702.41</v>
      </c>
    </row>
    <row r="542" spans="1:7" x14ac:dyDescent="0.2">
      <c r="A542" s="1" t="s">
        <v>240</v>
      </c>
      <c r="B542" s="2" t="s">
        <v>13</v>
      </c>
      <c r="C542" s="2" t="s">
        <v>25</v>
      </c>
      <c r="D542" s="2" t="s">
        <v>45</v>
      </c>
      <c r="E542">
        <v>7</v>
      </c>
      <c r="F542" s="3">
        <v>971.31</v>
      </c>
      <c r="G542" s="3">
        <f t="shared" si="8"/>
        <v>6799.17</v>
      </c>
    </row>
    <row r="543" spans="1:7" x14ac:dyDescent="0.2">
      <c r="A543" s="1" t="s">
        <v>241</v>
      </c>
      <c r="B543" s="2" t="s">
        <v>13</v>
      </c>
      <c r="C543" s="2" t="s">
        <v>21</v>
      </c>
      <c r="D543" s="2" t="s">
        <v>37</v>
      </c>
      <c r="E543">
        <v>5</v>
      </c>
      <c r="F543" s="3">
        <v>1907.42</v>
      </c>
      <c r="G543" s="3">
        <f t="shared" si="8"/>
        <v>9537.1</v>
      </c>
    </row>
    <row r="544" spans="1:7" x14ac:dyDescent="0.2">
      <c r="A544" s="1" t="s">
        <v>241</v>
      </c>
      <c r="B544" s="2" t="s">
        <v>16</v>
      </c>
      <c r="C544" s="2" t="s">
        <v>25</v>
      </c>
      <c r="D544" s="2" t="s">
        <v>36</v>
      </c>
      <c r="E544">
        <v>4</v>
      </c>
      <c r="F544" s="3">
        <v>659.35</v>
      </c>
      <c r="G544" s="3">
        <f t="shared" si="8"/>
        <v>2637.4</v>
      </c>
    </row>
    <row r="545" spans="1:7" x14ac:dyDescent="0.2">
      <c r="A545" s="1" t="s">
        <v>242</v>
      </c>
      <c r="B545" s="2" t="s">
        <v>13</v>
      </c>
      <c r="C545" s="2" t="s">
        <v>9</v>
      </c>
      <c r="D545" s="2" t="s">
        <v>43</v>
      </c>
      <c r="E545">
        <v>4</v>
      </c>
      <c r="F545" s="3">
        <v>1069.1199999999999</v>
      </c>
      <c r="G545" s="3">
        <f t="shared" si="8"/>
        <v>4276.4799999999996</v>
      </c>
    </row>
    <row r="546" spans="1:7" x14ac:dyDescent="0.2">
      <c r="A546" s="1" t="s">
        <v>242</v>
      </c>
      <c r="B546" s="2" t="s">
        <v>19</v>
      </c>
      <c r="C546" s="2" t="s">
        <v>9</v>
      </c>
      <c r="D546" s="2" t="s">
        <v>30</v>
      </c>
      <c r="E546">
        <v>7</v>
      </c>
      <c r="F546" s="3">
        <v>5196.59</v>
      </c>
      <c r="G546" s="3">
        <f t="shared" si="8"/>
        <v>36376.130000000005</v>
      </c>
    </row>
    <row r="547" spans="1:7" x14ac:dyDescent="0.2">
      <c r="A547" s="1" t="s">
        <v>242</v>
      </c>
      <c r="B547" s="2" t="s">
        <v>8</v>
      </c>
      <c r="C547" s="2" t="s">
        <v>9</v>
      </c>
      <c r="D547" s="2" t="s">
        <v>10</v>
      </c>
      <c r="E547">
        <v>2</v>
      </c>
      <c r="F547" s="3">
        <v>760.64</v>
      </c>
      <c r="G547" s="3">
        <f t="shared" si="8"/>
        <v>1521.28</v>
      </c>
    </row>
    <row r="548" spans="1:7" x14ac:dyDescent="0.2">
      <c r="A548" s="1" t="s">
        <v>242</v>
      </c>
      <c r="B548" s="2" t="s">
        <v>16</v>
      </c>
      <c r="C548" s="2" t="s">
        <v>21</v>
      </c>
      <c r="D548" s="2" t="s">
        <v>28</v>
      </c>
      <c r="E548">
        <v>4</v>
      </c>
      <c r="F548" s="3">
        <v>4200.5600000000004</v>
      </c>
      <c r="G548" s="3">
        <f t="shared" si="8"/>
        <v>16802.240000000002</v>
      </c>
    </row>
    <row r="549" spans="1:7" x14ac:dyDescent="0.2">
      <c r="A549" s="1" t="s">
        <v>242</v>
      </c>
      <c r="B549" s="2" t="s">
        <v>19</v>
      </c>
      <c r="C549" s="2" t="s">
        <v>25</v>
      </c>
      <c r="D549" s="2" t="s">
        <v>45</v>
      </c>
      <c r="E549">
        <v>5</v>
      </c>
      <c r="F549" s="3">
        <v>798.73</v>
      </c>
      <c r="G549" s="3">
        <f t="shared" si="8"/>
        <v>3993.65</v>
      </c>
    </row>
    <row r="550" spans="1:7" x14ac:dyDescent="0.2">
      <c r="A550" s="1" t="s">
        <v>242</v>
      </c>
      <c r="B550" s="2" t="s">
        <v>13</v>
      </c>
      <c r="C550" s="2" t="s">
        <v>9</v>
      </c>
      <c r="D550" s="2" t="s">
        <v>43</v>
      </c>
      <c r="E550">
        <v>6</v>
      </c>
      <c r="F550" s="3">
        <v>1143.78</v>
      </c>
      <c r="G550" s="3">
        <f t="shared" si="8"/>
        <v>6862.68</v>
      </c>
    </row>
    <row r="551" spans="1:7" x14ac:dyDescent="0.2">
      <c r="A551" s="1" t="s">
        <v>242</v>
      </c>
      <c r="B551" s="2" t="s">
        <v>13</v>
      </c>
      <c r="C551" s="2" t="s">
        <v>11</v>
      </c>
      <c r="D551" s="2" t="s">
        <v>48</v>
      </c>
      <c r="E551">
        <v>1</v>
      </c>
      <c r="F551" s="3">
        <v>2917.59</v>
      </c>
      <c r="G551" s="3">
        <f t="shared" si="8"/>
        <v>2917.59</v>
      </c>
    </row>
    <row r="552" spans="1:7" x14ac:dyDescent="0.2">
      <c r="A552" s="1" t="s">
        <v>242</v>
      </c>
      <c r="B552" s="2" t="s">
        <v>8</v>
      </c>
      <c r="C552" s="2" t="s">
        <v>11</v>
      </c>
      <c r="D552" s="2" t="s">
        <v>12</v>
      </c>
      <c r="E552">
        <v>7</v>
      </c>
      <c r="F552" s="3">
        <v>2675.92</v>
      </c>
      <c r="G552" s="3">
        <f t="shared" si="8"/>
        <v>18731.440000000002</v>
      </c>
    </row>
    <row r="553" spans="1:7" x14ac:dyDescent="0.2">
      <c r="A553" s="1" t="s">
        <v>243</v>
      </c>
      <c r="B553" s="2" t="s">
        <v>8</v>
      </c>
      <c r="C553" s="2" t="s">
        <v>21</v>
      </c>
      <c r="D553" s="2" t="s">
        <v>58</v>
      </c>
      <c r="E553">
        <v>5</v>
      </c>
      <c r="F553" s="3">
        <v>2617.2600000000002</v>
      </c>
      <c r="G553" s="3">
        <f t="shared" si="8"/>
        <v>13086.300000000001</v>
      </c>
    </row>
    <row r="554" spans="1:7" x14ac:dyDescent="0.2">
      <c r="A554" s="1" t="s">
        <v>243</v>
      </c>
      <c r="B554" s="2" t="s">
        <v>13</v>
      </c>
      <c r="C554" s="2" t="s">
        <v>25</v>
      </c>
      <c r="D554" s="2" t="s">
        <v>64</v>
      </c>
      <c r="E554">
        <v>2</v>
      </c>
      <c r="F554" s="3">
        <v>941.1</v>
      </c>
      <c r="G554" s="3">
        <f t="shared" si="8"/>
        <v>1882.2</v>
      </c>
    </row>
    <row r="555" spans="1:7" x14ac:dyDescent="0.2">
      <c r="A555" s="1" t="s">
        <v>243</v>
      </c>
      <c r="B555" s="2" t="s">
        <v>13</v>
      </c>
      <c r="C555" s="2" t="s">
        <v>11</v>
      </c>
      <c r="D555" s="2" t="s">
        <v>12</v>
      </c>
      <c r="E555">
        <v>1</v>
      </c>
      <c r="F555" s="3">
        <v>2533.48</v>
      </c>
      <c r="G555" s="3">
        <f t="shared" si="8"/>
        <v>2533.48</v>
      </c>
    </row>
    <row r="556" spans="1:7" x14ac:dyDescent="0.2">
      <c r="A556" s="1" t="s">
        <v>244</v>
      </c>
      <c r="B556" s="2" t="s">
        <v>8</v>
      </c>
      <c r="C556" s="2" t="s">
        <v>21</v>
      </c>
      <c r="D556" s="2" t="s">
        <v>27</v>
      </c>
      <c r="E556">
        <v>6</v>
      </c>
      <c r="F556" s="3">
        <v>1646.46</v>
      </c>
      <c r="G556" s="3">
        <f t="shared" si="8"/>
        <v>9878.76</v>
      </c>
    </row>
    <row r="557" spans="1:7" x14ac:dyDescent="0.2">
      <c r="A557" s="1" t="s">
        <v>244</v>
      </c>
      <c r="B557" s="2" t="s">
        <v>8</v>
      </c>
      <c r="C557" s="2" t="s">
        <v>11</v>
      </c>
      <c r="D557" s="2" t="s">
        <v>12</v>
      </c>
      <c r="E557">
        <v>6</v>
      </c>
      <c r="F557" s="3">
        <v>2547.0500000000002</v>
      </c>
      <c r="G557" s="3">
        <f t="shared" si="8"/>
        <v>15282.300000000001</v>
      </c>
    </row>
    <row r="558" spans="1:7" x14ac:dyDescent="0.2">
      <c r="A558" s="1" t="s">
        <v>244</v>
      </c>
      <c r="B558" s="2" t="s">
        <v>19</v>
      </c>
      <c r="C558" s="2" t="s">
        <v>21</v>
      </c>
      <c r="D558" s="2" t="s">
        <v>58</v>
      </c>
      <c r="E558">
        <v>6</v>
      </c>
      <c r="F558" s="3">
        <v>2335.1999999999998</v>
      </c>
      <c r="G558" s="3">
        <f t="shared" si="8"/>
        <v>14011.199999999999</v>
      </c>
    </row>
    <row r="559" spans="1:7" x14ac:dyDescent="0.2">
      <c r="A559" s="1" t="s">
        <v>244</v>
      </c>
      <c r="B559" s="2" t="s">
        <v>8</v>
      </c>
      <c r="C559" s="2" t="s">
        <v>9</v>
      </c>
      <c r="D559" s="2" t="s">
        <v>43</v>
      </c>
      <c r="E559">
        <v>7</v>
      </c>
      <c r="F559" s="3">
        <v>1222.74</v>
      </c>
      <c r="G559" s="3">
        <f t="shared" si="8"/>
        <v>8559.18</v>
      </c>
    </row>
    <row r="560" spans="1:7" x14ac:dyDescent="0.2">
      <c r="A560" s="1" t="s">
        <v>245</v>
      </c>
      <c r="B560" s="2" t="s">
        <v>8</v>
      </c>
      <c r="C560" s="2" t="s">
        <v>9</v>
      </c>
      <c r="D560" s="2" t="s">
        <v>30</v>
      </c>
      <c r="E560">
        <v>1</v>
      </c>
      <c r="F560" s="3">
        <v>8758.18</v>
      </c>
      <c r="G560" s="3">
        <f t="shared" si="8"/>
        <v>8758.18</v>
      </c>
    </row>
    <row r="561" spans="1:7" x14ac:dyDescent="0.2">
      <c r="A561" s="1" t="s">
        <v>245</v>
      </c>
      <c r="B561" s="2" t="s">
        <v>8</v>
      </c>
      <c r="C561" s="2" t="s">
        <v>21</v>
      </c>
      <c r="D561" s="2" t="s">
        <v>58</v>
      </c>
      <c r="E561">
        <v>3</v>
      </c>
      <c r="F561" s="3">
        <v>1289.6600000000001</v>
      </c>
      <c r="G561" s="3">
        <f t="shared" si="8"/>
        <v>3868.9800000000005</v>
      </c>
    </row>
    <row r="562" spans="1:7" x14ac:dyDescent="0.2">
      <c r="A562" s="1" t="s">
        <v>246</v>
      </c>
      <c r="B562" s="2" t="s">
        <v>13</v>
      </c>
      <c r="C562" s="2" t="s">
        <v>21</v>
      </c>
      <c r="D562" s="2" t="s">
        <v>58</v>
      </c>
      <c r="E562">
        <v>3</v>
      </c>
      <c r="F562" s="3">
        <v>1354.9</v>
      </c>
      <c r="G562" s="3">
        <f t="shared" si="8"/>
        <v>4064.7000000000003</v>
      </c>
    </row>
    <row r="563" spans="1:7" x14ac:dyDescent="0.2">
      <c r="A563" s="1" t="s">
        <v>246</v>
      </c>
      <c r="B563" s="2" t="s">
        <v>8</v>
      </c>
      <c r="C563" s="2" t="s">
        <v>9</v>
      </c>
      <c r="D563" s="2" t="s">
        <v>30</v>
      </c>
      <c r="E563">
        <v>7</v>
      </c>
      <c r="F563" s="3">
        <v>8840.86</v>
      </c>
      <c r="G563" s="3">
        <f t="shared" si="8"/>
        <v>61886.020000000004</v>
      </c>
    </row>
    <row r="564" spans="1:7" x14ac:dyDescent="0.2">
      <c r="A564" s="1" t="s">
        <v>247</v>
      </c>
      <c r="B564" s="2" t="s">
        <v>16</v>
      </c>
      <c r="C564" s="2" t="s">
        <v>9</v>
      </c>
      <c r="D564" s="2" t="s">
        <v>17</v>
      </c>
      <c r="E564">
        <v>1</v>
      </c>
      <c r="F564" s="3">
        <v>5649.02</v>
      </c>
      <c r="G564" s="3">
        <f t="shared" si="8"/>
        <v>5649.02</v>
      </c>
    </row>
    <row r="565" spans="1:7" x14ac:dyDescent="0.2">
      <c r="A565" s="1" t="s">
        <v>247</v>
      </c>
      <c r="B565" s="2" t="s">
        <v>16</v>
      </c>
      <c r="C565" s="2" t="s">
        <v>9</v>
      </c>
      <c r="D565" s="2" t="s">
        <v>30</v>
      </c>
      <c r="E565">
        <v>8</v>
      </c>
      <c r="F565" s="3">
        <v>6469.91</v>
      </c>
      <c r="G565" s="3">
        <f t="shared" si="8"/>
        <v>51759.28</v>
      </c>
    </row>
    <row r="566" spans="1:7" x14ac:dyDescent="0.2">
      <c r="A566" s="1" t="s">
        <v>247</v>
      </c>
      <c r="B566" s="2" t="s">
        <v>13</v>
      </c>
      <c r="C566" s="2" t="s">
        <v>25</v>
      </c>
      <c r="D566" s="2" t="s">
        <v>26</v>
      </c>
      <c r="E566">
        <v>2</v>
      </c>
      <c r="F566" s="3">
        <v>2128.8000000000002</v>
      </c>
      <c r="G566" s="3">
        <f t="shared" si="8"/>
        <v>4257.6000000000004</v>
      </c>
    </row>
    <row r="567" spans="1:7" x14ac:dyDescent="0.2">
      <c r="A567" s="1" t="s">
        <v>247</v>
      </c>
      <c r="B567" s="2" t="s">
        <v>16</v>
      </c>
      <c r="C567" s="2" t="s">
        <v>9</v>
      </c>
      <c r="D567" s="2" t="s">
        <v>17</v>
      </c>
      <c r="E567">
        <v>3</v>
      </c>
      <c r="F567" s="3">
        <v>3447.96</v>
      </c>
      <c r="G567" s="3">
        <f t="shared" si="8"/>
        <v>10343.880000000001</v>
      </c>
    </row>
    <row r="568" spans="1:7" x14ac:dyDescent="0.2">
      <c r="A568" s="1" t="s">
        <v>248</v>
      </c>
      <c r="B568" s="2" t="s">
        <v>13</v>
      </c>
      <c r="C568" s="2" t="s">
        <v>25</v>
      </c>
      <c r="D568" s="2" t="s">
        <v>45</v>
      </c>
      <c r="E568">
        <v>1</v>
      </c>
      <c r="F568" s="3">
        <v>676.73</v>
      </c>
      <c r="G568" s="3">
        <f t="shared" si="8"/>
        <v>676.73</v>
      </c>
    </row>
    <row r="569" spans="1:7" x14ac:dyDescent="0.2">
      <c r="A569" s="1" t="s">
        <v>248</v>
      </c>
      <c r="B569" s="2" t="s">
        <v>8</v>
      </c>
      <c r="C569" s="2" t="s">
        <v>9</v>
      </c>
      <c r="D569" s="2" t="s">
        <v>41</v>
      </c>
      <c r="E569">
        <v>6</v>
      </c>
      <c r="F569" s="3">
        <v>2184.1799999999998</v>
      </c>
      <c r="G569" s="3">
        <f t="shared" si="8"/>
        <v>13105.079999999998</v>
      </c>
    </row>
    <row r="570" spans="1:7" x14ac:dyDescent="0.2">
      <c r="A570" s="1" t="s">
        <v>248</v>
      </c>
      <c r="B570" s="2" t="s">
        <v>19</v>
      </c>
      <c r="C570" s="2" t="s">
        <v>11</v>
      </c>
      <c r="D570" s="2" t="s">
        <v>14</v>
      </c>
      <c r="E570">
        <v>7</v>
      </c>
      <c r="F570" s="3">
        <v>1315.51</v>
      </c>
      <c r="G570" s="3">
        <f t="shared" si="8"/>
        <v>9208.57</v>
      </c>
    </row>
    <row r="571" spans="1:7" x14ac:dyDescent="0.2">
      <c r="A571" s="1" t="s">
        <v>248</v>
      </c>
      <c r="B571" s="2" t="s">
        <v>16</v>
      </c>
      <c r="C571" s="2" t="s">
        <v>21</v>
      </c>
      <c r="D571" s="2" t="s">
        <v>27</v>
      </c>
      <c r="E571">
        <v>5</v>
      </c>
      <c r="F571" s="3">
        <v>1572.58</v>
      </c>
      <c r="G571" s="3">
        <f t="shared" si="8"/>
        <v>7862.9</v>
      </c>
    </row>
    <row r="572" spans="1:7" x14ac:dyDescent="0.2">
      <c r="A572" s="1" t="s">
        <v>248</v>
      </c>
      <c r="B572" s="2" t="s">
        <v>8</v>
      </c>
      <c r="C572" s="2" t="s">
        <v>25</v>
      </c>
      <c r="D572" s="2" t="s">
        <v>50</v>
      </c>
      <c r="E572">
        <v>9</v>
      </c>
      <c r="F572" s="3">
        <v>1916.82</v>
      </c>
      <c r="G572" s="3">
        <f t="shared" si="8"/>
        <v>17251.38</v>
      </c>
    </row>
    <row r="573" spans="1:7" x14ac:dyDescent="0.2">
      <c r="A573" s="1" t="s">
        <v>249</v>
      </c>
      <c r="B573" s="2" t="s">
        <v>16</v>
      </c>
      <c r="C573" s="2" t="s">
        <v>9</v>
      </c>
      <c r="D573" s="2" t="s">
        <v>17</v>
      </c>
      <c r="E573">
        <v>3</v>
      </c>
      <c r="F573" s="3">
        <v>3560.48</v>
      </c>
      <c r="G573" s="3">
        <f t="shared" si="8"/>
        <v>10681.44</v>
      </c>
    </row>
    <row r="574" spans="1:7" x14ac:dyDescent="0.2">
      <c r="A574" s="1" t="s">
        <v>249</v>
      </c>
      <c r="B574" s="2" t="s">
        <v>8</v>
      </c>
      <c r="C574" s="2" t="s">
        <v>25</v>
      </c>
      <c r="D574" s="2" t="s">
        <v>50</v>
      </c>
      <c r="E574">
        <v>8</v>
      </c>
      <c r="F574" s="3">
        <v>2281.09</v>
      </c>
      <c r="G574" s="3">
        <f t="shared" si="8"/>
        <v>18248.72</v>
      </c>
    </row>
    <row r="575" spans="1:7" x14ac:dyDescent="0.2">
      <c r="A575" s="1" t="s">
        <v>249</v>
      </c>
      <c r="B575" s="2" t="s">
        <v>8</v>
      </c>
      <c r="C575" s="2" t="s">
        <v>21</v>
      </c>
      <c r="D575" s="2" t="s">
        <v>58</v>
      </c>
      <c r="E575">
        <v>5</v>
      </c>
      <c r="F575" s="3">
        <v>1526.08</v>
      </c>
      <c r="G575" s="3">
        <f t="shared" si="8"/>
        <v>7630.4</v>
      </c>
    </row>
    <row r="576" spans="1:7" x14ac:dyDescent="0.2">
      <c r="A576" s="1" t="s">
        <v>250</v>
      </c>
      <c r="B576" s="2" t="s">
        <v>16</v>
      </c>
      <c r="C576" s="2" t="s">
        <v>25</v>
      </c>
      <c r="D576" s="2" t="s">
        <v>45</v>
      </c>
      <c r="E576">
        <v>3</v>
      </c>
      <c r="F576" s="3">
        <v>846.73</v>
      </c>
      <c r="G576" s="3">
        <f t="shared" si="8"/>
        <v>2540.19</v>
      </c>
    </row>
    <row r="577" spans="1:7" x14ac:dyDescent="0.2">
      <c r="A577" s="1" t="s">
        <v>250</v>
      </c>
      <c r="B577" s="2" t="s">
        <v>8</v>
      </c>
      <c r="C577" s="2" t="s">
        <v>9</v>
      </c>
      <c r="D577" s="2" t="s">
        <v>10</v>
      </c>
      <c r="E577">
        <v>6</v>
      </c>
      <c r="F577" s="3">
        <v>774.48</v>
      </c>
      <c r="G577" s="3">
        <f t="shared" si="8"/>
        <v>4646.88</v>
      </c>
    </row>
    <row r="578" spans="1:7" x14ac:dyDescent="0.2">
      <c r="A578" s="1" t="s">
        <v>251</v>
      </c>
      <c r="B578" s="2" t="s">
        <v>16</v>
      </c>
      <c r="C578" s="2" t="s">
        <v>25</v>
      </c>
      <c r="D578" s="2" t="s">
        <v>50</v>
      </c>
      <c r="E578">
        <v>5</v>
      </c>
      <c r="F578" s="3">
        <v>1917.52</v>
      </c>
      <c r="G578" s="3">
        <f t="shared" ref="G578:G641" si="9">E578*F578</f>
        <v>9587.6</v>
      </c>
    </row>
    <row r="579" spans="1:7" x14ac:dyDescent="0.2">
      <c r="A579" s="1" t="s">
        <v>252</v>
      </c>
      <c r="B579" s="2" t="s">
        <v>13</v>
      </c>
      <c r="C579" s="2" t="s">
        <v>21</v>
      </c>
      <c r="D579" s="2" t="s">
        <v>37</v>
      </c>
      <c r="E579">
        <v>2</v>
      </c>
      <c r="F579" s="3">
        <v>2607.83</v>
      </c>
      <c r="G579" s="3">
        <f t="shared" si="9"/>
        <v>5215.66</v>
      </c>
    </row>
    <row r="580" spans="1:7" x14ac:dyDescent="0.2">
      <c r="A580" s="1" t="s">
        <v>252</v>
      </c>
      <c r="B580" s="2" t="s">
        <v>16</v>
      </c>
      <c r="C580" s="2" t="s">
        <v>25</v>
      </c>
      <c r="D580" s="2" t="s">
        <v>26</v>
      </c>
      <c r="E580">
        <v>8</v>
      </c>
      <c r="F580" s="3">
        <v>2085.7600000000002</v>
      </c>
      <c r="G580" s="3">
        <f t="shared" si="9"/>
        <v>16686.080000000002</v>
      </c>
    </row>
    <row r="581" spans="1:7" x14ac:dyDescent="0.2">
      <c r="A581" s="1" t="s">
        <v>252</v>
      </c>
      <c r="B581" s="2" t="s">
        <v>16</v>
      </c>
      <c r="C581" s="2" t="s">
        <v>11</v>
      </c>
      <c r="D581" s="2" t="s">
        <v>12</v>
      </c>
      <c r="E581">
        <v>6</v>
      </c>
      <c r="F581" s="3">
        <v>2206.94</v>
      </c>
      <c r="G581" s="3">
        <f t="shared" si="9"/>
        <v>13241.64</v>
      </c>
    </row>
    <row r="582" spans="1:7" x14ac:dyDescent="0.2">
      <c r="A582" s="1" t="s">
        <v>252</v>
      </c>
      <c r="B582" s="2" t="s">
        <v>8</v>
      </c>
      <c r="C582" s="2" t="s">
        <v>25</v>
      </c>
      <c r="D582" s="2" t="s">
        <v>50</v>
      </c>
      <c r="E582">
        <v>1</v>
      </c>
      <c r="F582" s="3">
        <v>2776.04</v>
      </c>
      <c r="G582" s="3">
        <f t="shared" si="9"/>
        <v>2776.04</v>
      </c>
    </row>
    <row r="583" spans="1:7" x14ac:dyDescent="0.2">
      <c r="A583" s="1" t="s">
        <v>253</v>
      </c>
      <c r="B583" s="2" t="s">
        <v>19</v>
      </c>
      <c r="C583" s="2" t="s">
        <v>25</v>
      </c>
      <c r="D583" s="2" t="s">
        <v>45</v>
      </c>
      <c r="E583">
        <v>7</v>
      </c>
      <c r="F583" s="3">
        <v>998.68</v>
      </c>
      <c r="G583" s="3">
        <f t="shared" si="9"/>
        <v>6990.7599999999993</v>
      </c>
    </row>
    <row r="584" spans="1:7" x14ac:dyDescent="0.2">
      <c r="A584" s="1" t="s">
        <v>253</v>
      </c>
      <c r="B584" s="2" t="s">
        <v>16</v>
      </c>
      <c r="C584" s="2" t="s">
        <v>25</v>
      </c>
      <c r="D584" s="2" t="s">
        <v>45</v>
      </c>
      <c r="E584">
        <v>2</v>
      </c>
      <c r="F584" s="3">
        <v>587.73</v>
      </c>
      <c r="G584" s="3">
        <f t="shared" si="9"/>
        <v>1175.46</v>
      </c>
    </row>
    <row r="585" spans="1:7" x14ac:dyDescent="0.2">
      <c r="A585" s="1" t="s">
        <v>254</v>
      </c>
      <c r="B585" s="2" t="s">
        <v>13</v>
      </c>
      <c r="C585" s="2" t="s">
        <v>11</v>
      </c>
      <c r="D585" s="2" t="s">
        <v>31</v>
      </c>
      <c r="E585">
        <v>6</v>
      </c>
      <c r="F585" s="3">
        <v>390.21</v>
      </c>
      <c r="G585" s="3">
        <f t="shared" si="9"/>
        <v>2341.2599999999998</v>
      </c>
    </row>
    <row r="586" spans="1:7" x14ac:dyDescent="0.2">
      <c r="A586" s="1" t="s">
        <v>255</v>
      </c>
      <c r="B586" s="2" t="s">
        <v>16</v>
      </c>
      <c r="C586" s="2" t="s">
        <v>9</v>
      </c>
      <c r="D586" s="2" t="s">
        <v>17</v>
      </c>
      <c r="E586">
        <v>5</v>
      </c>
      <c r="F586" s="3">
        <v>6729.84</v>
      </c>
      <c r="G586" s="3">
        <f t="shared" si="9"/>
        <v>33649.199999999997</v>
      </c>
    </row>
    <row r="587" spans="1:7" x14ac:dyDescent="0.2">
      <c r="A587" s="1" t="s">
        <v>255</v>
      </c>
      <c r="B587" s="2" t="s">
        <v>13</v>
      </c>
      <c r="C587" s="2" t="s">
        <v>25</v>
      </c>
      <c r="D587" s="2" t="s">
        <v>50</v>
      </c>
      <c r="E587">
        <v>3</v>
      </c>
      <c r="F587" s="3">
        <v>1998.66</v>
      </c>
      <c r="G587" s="3">
        <f t="shared" si="9"/>
        <v>5995.9800000000005</v>
      </c>
    </row>
    <row r="588" spans="1:7" x14ac:dyDescent="0.2">
      <c r="A588" s="1" t="s">
        <v>256</v>
      </c>
      <c r="B588" s="2" t="s">
        <v>16</v>
      </c>
      <c r="C588" s="2" t="s">
        <v>21</v>
      </c>
      <c r="D588" s="2" t="s">
        <v>22</v>
      </c>
      <c r="E588">
        <v>3</v>
      </c>
      <c r="F588" s="3">
        <v>1161.83</v>
      </c>
      <c r="G588" s="3">
        <f t="shared" si="9"/>
        <v>3485.49</v>
      </c>
    </row>
    <row r="589" spans="1:7" x14ac:dyDescent="0.2">
      <c r="A589" s="1" t="s">
        <v>256</v>
      </c>
      <c r="B589" s="2" t="s">
        <v>16</v>
      </c>
      <c r="C589" s="2" t="s">
        <v>11</v>
      </c>
      <c r="D589" s="2" t="s">
        <v>20</v>
      </c>
      <c r="E589">
        <v>8</v>
      </c>
      <c r="F589" s="3">
        <v>745.48</v>
      </c>
      <c r="G589" s="3">
        <f t="shared" si="9"/>
        <v>5963.84</v>
      </c>
    </row>
    <row r="590" spans="1:7" x14ac:dyDescent="0.2">
      <c r="A590" s="1" t="s">
        <v>256</v>
      </c>
      <c r="B590" s="2" t="s">
        <v>13</v>
      </c>
      <c r="C590" s="2" t="s">
        <v>9</v>
      </c>
      <c r="D590" s="2" t="s">
        <v>17</v>
      </c>
      <c r="E590">
        <v>7</v>
      </c>
      <c r="F590" s="3">
        <v>4173.57</v>
      </c>
      <c r="G590" s="3">
        <f t="shared" si="9"/>
        <v>29214.989999999998</v>
      </c>
    </row>
    <row r="591" spans="1:7" x14ac:dyDescent="0.2">
      <c r="A591" s="1" t="s">
        <v>257</v>
      </c>
      <c r="B591" s="2" t="s">
        <v>8</v>
      </c>
      <c r="C591" s="2" t="s">
        <v>11</v>
      </c>
      <c r="D591" s="2" t="s">
        <v>48</v>
      </c>
      <c r="E591">
        <v>6</v>
      </c>
      <c r="F591" s="3">
        <v>2080.59</v>
      </c>
      <c r="G591" s="3">
        <f t="shared" si="9"/>
        <v>12483.54</v>
      </c>
    </row>
    <row r="592" spans="1:7" x14ac:dyDescent="0.2">
      <c r="A592" s="1" t="s">
        <v>257</v>
      </c>
      <c r="B592" s="2" t="s">
        <v>8</v>
      </c>
      <c r="C592" s="2" t="s">
        <v>11</v>
      </c>
      <c r="D592" s="2" t="s">
        <v>31</v>
      </c>
      <c r="E592">
        <v>5</v>
      </c>
      <c r="F592" s="3">
        <v>364.98</v>
      </c>
      <c r="G592" s="3">
        <f t="shared" si="9"/>
        <v>1824.9</v>
      </c>
    </row>
    <row r="593" spans="1:7" x14ac:dyDescent="0.2">
      <c r="A593" s="1" t="s">
        <v>258</v>
      </c>
      <c r="B593" s="2" t="s">
        <v>8</v>
      </c>
      <c r="C593" s="2" t="s">
        <v>11</v>
      </c>
      <c r="D593" s="2" t="s">
        <v>48</v>
      </c>
      <c r="E593">
        <v>7</v>
      </c>
      <c r="F593" s="3">
        <v>2447.36</v>
      </c>
      <c r="G593" s="3">
        <f t="shared" si="9"/>
        <v>17131.52</v>
      </c>
    </row>
    <row r="594" spans="1:7" x14ac:dyDescent="0.2">
      <c r="A594" s="1" t="s">
        <v>259</v>
      </c>
      <c r="B594" s="2" t="s">
        <v>13</v>
      </c>
      <c r="C594" s="2" t="s">
        <v>21</v>
      </c>
      <c r="D594" s="2" t="s">
        <v>27</v>
      </c>
      <c r="E594">
        <v>6</v>
      </c>
      <c r="F594" s="3">
        <v>1188.95</v>
      </c>
      <c r="G594" s="3">
        <f t="shared" si="9"/>
        <v>7133.7000000000007</v>
      </c>
    </row>
    <row r="595" spans="1:7" x14ac:dyDescent="0.2">
      <c r="A595" s="1" t="s">
        <v>259</v>
      </c>
      <c r="B595" s="2" t="s">
        <v>13</v>
      </c>
      <c r="C595" s="2" t="s">
        <v>25</v>
      </c>
      <c r="D595" s="2" t="s">
        <v>45</v>
      </c>
      <c r="E595">
        <v>2</v>
      </c>
      <c r="F595" s="3">
        <v>895.78</v>
      </c>
      <c r="G595" s="3">
        <f t="shared" si="9"/>
        <v>1791.56</v>
      </c>
    </row>
    <row r="596" spans="1:7" x14ac:dyDescent="0.2">
      <c r="A596" s="1" t="s">
        <v>259</v>
      </c>
      <c r="B596" s="2" t="s">
        <v>8</v>
      </c>
      <c r="C596" s="2" t="s">
        <v>25</v>
      </c>
      <c r="D596" s="2" t="s">
        <v>26</v>
      </c>
      <c r="E596">
        <v>8</v>
      </c>
      <c r="F596" s="3">
        <v>1937.35</v>
      </c>
      <c r="G596" s="3">
        <f t="shared" si="9"/>
        <v>15498.8</v>
      </c>
    </row>
    <row r="597" spans="1:7" x14ac:dyDescent="0.2">
      <c r="A597" s="1" t="s">
        <v>260</v>
      </c>
      <c r="B597" s="2" t="s">
        <v>13</v>
      </c>
      <c r="C597" s="2" t="s">
        <v>25</v>
      </c>
      <c r="D597" s="2" t="s">
        <v>64</v>
      </c>
      <c r="E597">
        <v>2</v>
      </c>
      <c r="F597" s="3">
        <v>951.8</v>
      </c>
      <c r="G597" s="3">
        <f t="shared" si="9"/>
        <v>1903.6</v>
      </c>
    </row>
    <row r="598" spans="1:7" x14ac:dyDescent="0.2">
      <c r="A598" s="1" t="s">
        <v>260</v>
      </c>
      <c r="B598" s="2" t="s">
        <v>8</v>
      </c>
      <c r="C598" s="2" t="s">
        <v>25</v>
      </c>
      <c r="D598" s="2" t="s">
        <v>26</v>
      </c>
      <c r="E598">
        <v>9</v>
      </c>
      <c r="F598" s="3">
        <v>1868.81</v>
      </c>
      <c r="G598" s="3">
        <f t="shared" si="9"/>
        <v>16819.29</v>
      </c>
    </row>
    <row r="599" spans="1:7" x14ac:dyDescent="0.2">
      <c r="A599" s="1" t="s">
        <v>261</v>
      </c>
      <c r="B599" s="2" t="s">
        <v>13</v>
      </c>
      <c r="C599" s="2" t="s">
        <v>21</v>
      </c>
      <c r="D599" s="2" t="s">
        <v>27</v>
      </c>
      <c r="E599">
        <v>1</v>
      </c>
      <c r="F599" s="3">
        <v>1496.41</v>
      </c>
      <c r="G599" s="3">
        <f t="shared" si="9"/>
        <v>1496.41</v>
      </c>
    </row>
    <row r="600" spans="1:7" x14ac:dyDescent="0.2">
      <c r="A600" s="1" t="s">
        <v>261</v>
      </c>
      <c r="B600" s="2" t="s">
        <v>16</v>
      </c>
      <c r="C600" s="2" t="s">
        <v>25</v>
      </c>
      <c r="D600" s="2" t="s">
        <v>64</v>
      </c>
      <c r="E600">
        <v>1</v>
      </c>
      <c r="F600" s="3">
        <v>735.78</v>
      </c>
      <c r="G600" s="3">
        <f t="shared" si="9"/>
        <v>735.78</v>
      </c>
    </row>
    <row r="601" spans="1:7" x14ac:dyDescent="0.2">
      <c r="A601" s="1" t="s">
        <v>261</v>
      </c>
      <c r="B601" s="2" t="s">
        <v>19</v>
      </c>
      <c r="C601" s="2" t="s">
        <v>9</v>
      </c>
      <c r="D601" s="2" t="s">
        <v>41</v>
      </c>
      <c r="E601">
        <v>6</v>
      </c>
      <c r="F601" s="3">
        <v>2446.56</v>
      </c>
      <c r="G601" s="3">
        <f t="shared" si="9"/>
        <v>14679.36</v>
      </c>
    </row>
    <row r="602" spans="1:7" x14ac:dyDescent="0.2">
      <c r="A602" s="1" t="s">
        <v>262</v>
      </c>
      <c r="B602" s="2" t="s">
        <v>16</v>
      </c>
      <c r="C602" s="2" t="s">
        <v>9</v>
      </c>
      <c r="D602" s="2" t="s">
        <v>10</v>
      </c>
      <c r="E602">
        <v>5</v>
      </c>
      <c r="F602" s="3">
        <v>838.06</v>
      </c>
      <c r="G602" s="3">
        <f t="shared" si="9"/>
        <v>4190.2999999999993</v>
      </c>
    </row>
    <row r="603" spans="1:7" x14ac:dyDescent="0.2">
      <c r="A603" s="1" t="s">
        <v>263</v>
      </c>
      <c r="B603" s="2" t="s">
        <v>8</v>
      </c>
      <c r="C603" s="2" t="s">
        <v>25</v>
      </c>
      <c r="D603" s="2" t="s">
        <v>50</v>
      </c>
      <c r="E603">
        <v>7</v>
      </c>
      <c r="F603" s="3">
        <v>1563.26</v>
      </c>
      <c r="G603" s="3">
        <f t="shared" si="9"/>
        <v>10942.82</v>
      </c>
    </row>
    <row r="604" spans="1:7" x14ac:dyDescent="0.2">
      <c r="A604" s="1" t="s">
        <v>263</v>
      </c>
      <c r="B604" s="2" t="s">
        <v>8</v>
      </c>
      <c r="C604" s="2" t="s">
        <v>11</v>
      </c>
      <c r="D604" s="2" t="s">
        <v>12</v>
      </c>
      <c r="E604">
        <v>1</v>
      </c>
      <c r="F604" s="3">
        <v>2239.4699999999998</v>
      </c>
      <c r="G604" s="3">
        <f t="shared" si="9"/>
        <v>2239.4699999999998</v>
      </c>
    </row>
    <row r="605" spans="1:7" x14ac:dyDescent="0.2">
      <c r="A605" s="1" t="s">
        <v>263</v>
      </c>
      <c r="B605" s="2" t="s">
        <v>19</v>
      </c>
      <c r="C605" s="2" t="s">
        <v>11</v>
      </c>
      <c r="D605" s="2" t="s">
        <v>12</v>
      </c>
      <c r="E605">
        <v>6</v>
      </c>
      <c r="F605" s="3">
        <v>1656.31</v>
      </c>
      <c r="G605" s="3">
        <f t="shared" si="9"/>
        <v>9937.86</v>
      </c>
    </row>
    <row r="606" spans="1:7" x14ac:dyDescent="0.2">
      <c r="A606" s="1" t="s">
        <v>263</v>
      </c>
      <c r="B606" s="2" t="s">
        <v>19</v>
      </c>
      <c r="C606" s="2" t="s">
        <v>9</v>
      </c>
      <c r="D606" s="2" t="s">
        <v>43</v>
      </c>
      <c r="E606">
        <v>7</v>
      </c>
      <c r="F606" s="3">
        <v>1253.46</v>
      </c>
      <c r="G606" s="3">
        <f t="shared" si="9"/>
        <v>8774.2200000000012</v>
      </c>
    </row>
    <row r="607" spans="1:7" x14ac:dyDescent="0.2">
      <c r="A607" s="1" t="s">
        <v>264</v>
      </c>
      <c r="B607" s="2" t="s">
        <v>8</v>
      </c>
      <c r="C607" s="2" t="s">
        <v>9</v>
      </c>
      <c r="D607" s="2" t="s">
        <v>41</v>
      </c>
      <c r="E607">
        <v>6</v>
      </c>
      <c r="F607" s="3">
        <v>2372.4699999999998</v>
      </c>
      <c r="G607" s="3">
        <f t="shared" si="9"/>
        <v>14234.82</v>
      </c>
    </row>
    <row r="608" spans="1:7" x14ac:dyDescent="0.2">
      <c r="A608" s="1" t="s">
        <v>265</v>
      </c>
      <c r="B608" s="2" t="s">
        <v>8</v>
      </c>
      <c r="C608" s="2" t="s">
        <v>21</v>
      </c>
      <c r="D608" s="2" t="s">
        <v>28</v>
      </c>
      <c r="E608">
        <v>2</v>
      </c>
      <c r="F608" s="3">
        <v>5200.8500000000004</v>
      </c>
      <c r="G608" s="3">
        <f t="shared" si="9"/>
        <v>10401.700000000001</v>
      </c>
    </row>
    <row r="609" spans="1:7" x14ac:dyDescent="0.2">
      <c r="A609" s="1" t="s">
        <v>265</v>
      </c>
      <c r="B609" s="2" t="s">
        <v>8</v>
      </c>
      <c r="C609" s="2" t="s">
        <v>25</v>
      </c>
      <c r="D609" s="2" t="s">
        <v>45</v>
      </c>
      <c r="E609">
        <v>5</v>
      </c>
      <c r="F609" s="3">
        <v>724.22</v>
      </c>
      <c r="G609" s="3">
        <f t="shared" si="9"/>
        <v>3621.1000000000004</v>
      </c>
    </row>
    <row r="610" spans="1:7" x14ac:dyDescent="0.2">
      <c r="A610" s="1" t="s">
        <v>266</v>
      </c>
      <c r="B610" s="2" t="s">
        <v>8</v>
      </c>
      <c r="C610" s="2" t="s">
        <v>9</v>
      </c>
      <c r="D610" s="2" t="s">
        <v>30</v>
      </c>
      <c r="E610">
        <v>3</v>
      </c>
      <c r="F610" s="3">
        <v>4743.67</v>
      </c>
      <c r="G610" s="3">
        <f t="shared" si="9"/>
        <v>14231.01</v>
      </c>
    </row>
    <row r="611" spans="1:7" x14ac:dyDescent="0.2">
      <c r="A611" s="1" t="s">
        <v>267</v>
      </c>
      <c r="B611" s="2" t="s">
        <v>13</v>
      </c>
      <c r="C611" s="2" t="s">
        <v>11</v>
      </c>
      <c r="D611" s="2" t="s">
        <v>31</v>
      </c>
      <c r="E611">
        <v>7</v>
      </c>
      <c r="F611" s="3">
        <v>397.48</v>
      </c>
      <c r="G611" s="3">
        <f t="shared" si="9"/>
        <v>2782.36</v>
      </c>
    </row>
    <row r="612" spans="1:7" x14ac:dyDescent="0.2">
      <c r="A612" s="1" t="s">
        <v>268</v>
      </c>
      <c r="B612" s="2" t="s">
        <v>8</v>
      </c>
      <c r="C612" s="2" t="s">
        <v>25</v>
      </c>
      <c r="D612" s="2" t="s">
        <v>36</v>
      </c>
      <c r="E612">
        <v>2</v>
      </c>
      <c r="F612" s="3">
        <v>569.04</v>
      </c>
      <c r="G612" s="3">
        <f t="shared" si="9"/>
        <v>1138.08</v>
      </c>
    </row>
    <row r="613" spans="1:7" x14ac:dyDescent="0.2">
      <c r="A613" s="1" t="s">
        <v>268</v>
      </c>
      <c r="B613" s="2" t="s">
        <v>8</v>
      </c>
      <c r="C613" s="2" t="s">
        <v>11</v>
      </c>
      <c r="D613" s="2" t="s">
        <v>31</v>
      </c>
      <c r="E613">
        <v>8</v>
      </c>
      <c r="F613" s="3">
        <v>521</v>
      </c>
      <c r="G613" s="3">
        <f t="shared" si="9"/>
        <v>4168</v>
      </c>
    </row>
    <row r="614" spans="1:7" x14ac:dyDescent="0.2">
      <c r="A614" s="1" t="s">
        <v>268</v>
      </c>
      <c r="B614" s="2" t="s">
        <v>16</v>
      </c>
      <c r="C614" s="2" t="s">
        <v>11</v>
      </c>
      <c r="D614" s="2" t="s">
        <v>31</v>
      </c>
      <c r="E614">
        <v>8</v>
      </c>
      <c r="F614" s="3">
        <v>410.51</v>
      </c>
      <c r="G614" s="3">
        <f t="shared" si="9"/>
        <v>3284.08</v>
      </c>
    </row>
    <row r="615" spans="1:7" x14ac:dyDescent="0.2">
      <c r="A615" s="1" t="s">
        <v>269</v>
      </c>
      <c r="B615" s="2" t="s">
        <v>8</v>
      </c>
      <c r="C615" s="2" t="s">
        <v>11</v>
      </c>
      <c r="D615" s="2" t="s">
        <v>14</v>
      </c>
      <c r="E615">
        <v>7</v>
      </c>
      <c r="F615" s="3">
        <v>1741.26</v>
      </c>
      <c r="G615" s="3">
        <f t="shared" si="9"/>
        <v>12188.82</v>
      </c>
    </row>
    <row r="616" spans="1:7" x14ac:dyDescent="0.2">
      <c r="A616" s="1" t="s">
        <v>269</v>
      </c>
      <c r="B616" s="2" t="s">
        <v>13</v>
      </c>
      <c r="C616" s="2" t="s">
        <v>11</v>
      </c>
      <c r="D616" s="2" t="s">
        <v>12</v>
      </c>
      <c r="E616">
        <v>8</v>
      </c>
      <c r="F616" s="3">
        <v>2812.98</v>
      </c>
      <c r="G616" s="3">
        <f t="shared" si="9"/>
        <v>22503.84</v>
      </c>
    </row>
    <row r="617" spans="1:7" x14ac:dyDescent="0.2">
      <c r="A617" s="1" t="s">
        <v>270</v>
      </c>
      <c r="B617" s="2" t="s">
        <v>13</v>
      </c>
      <c r="C617" s="2" t="s">
        <v>25</v>
      </c>
      <c r="D617" s="2" t="s">
        <v>26</v>
      </c>
      <c r="E617">
        <v>2</v>
      </c>
      <c r="F617" s="3">
        <v>1655</v>
      </c>
      <c r="G617" s="3">
        <f t="shared" si="9"/>
        <v>3310</v>
      </c>
    </row>
    <row r="618" spans="1:7" x14ac:dyDescent="0.2">
      <c r="A618" s="1" t="s">
        <v>271</v>
      </c>
      <c r="B618" s="2" t="s">
        <v>19</v>
      </c>
      <c r="C618" s="2" t="s">
        <v>25</v>
      </c>
      <c r="D618" s="2" t="s">
        <v>64</v>
      </c>
      <c r="E618">
        <v>7</v>
      </c>
      <c r="F618" s="3">
        <v>1215.44</v>
      </c>
      <c r="G618" s="3">
        <f t="shared" si="9"/>
        <v>8508.08</v>
      </c>
    </row>
    <row r="619" spans="1:7" x14ac:dyDescent="0.2">
      <c r="A619" s="1" t="s">
        <v>271</v>
      </c>
      <c r="B619" s="2" t="s">
        <v>13</v>
      </c>
      <c r="C619" s="2" t="s">
        <v>9</v>
      </c>
      <c r="D619" s="2" t="s">
        <v>17</v>
      </c>
      <c r="E619">
        <v>3</v>
      </c>
      <c r="F619" s="3">
        <v>5702.26</v>
      </c>
      <c r="G619" s="3">
        <f t="shared" si="9"/>
        <v>17106.78</v>
      </c>
    </row>
    <row r="620" spans="1:7" x14ac:dyDescent="0.2">
      <c r="A620" s="1" t="s">
        <v>272</v>
      </c>
      <c r="B620" s="2" t="s">
        <v>8</v>
      </c>
      <c r="C620" s="2" t="s">
        <v>21</v>
      </c>
      <c r="D620" s="2" t="s">
        <v>28</v>
      </c>
      <c r="E620">
        <v>5</v>
      </c>
      <c r="F620" s="3">
        <v>5847.91</v>
      </c>
      <c r="G620" s="3">
        <f t="shared" si="9"/>
        <v>29239.55</v>
      </c>
    </row>
    <row r="621" spans="1:7" x14ac:dyDescent="0.2">
      <c r="A621" s="1" t="s">
        <v>273</v>
      </c>
      <c r="B621" s="2" t="s">
        <v>13</v>
      </c>
      <c r="C621" s="2" t="s">
        <v>21</v>
      </c>
      <c r="D621" s="2" t="s">
        <v>22</v>
      </c>
      <c r="E621">
        <v>1</v>
      </c>
      <c r="F621" s="3">
        <v>778.31</v>
      </c>
      <c r="G621" s="3">
        <f t="shared" si="9"/>
        <v>778.31</v>
      </c>
    </row>
    <row r="622" spans="1:7" x14ac:dyDescent="0.2">
      <c r="A622" s="1" t="s">
        <v>273</v>
      </c>
      <c r="B622" s="2" t="s">
        <v>16</v>
      </c>
      <c r="C622" s="2" t="s">
        <v>9</v>
      </c>
      <c r="D622" s="2" t="s">
        <v>30</v>
      </c>
      <c r="E622">
        <v>6</v>
      </c>
      <c r="F622" s="3">
        <v>6083.15</v>
      </c>
      <c r="G622" s="3">
        <f t="shared" si="9"/>
        <v>36498.899999999994</v>
      </c>
    </row>
    <row r="623" spans="1:7" x14ac:dyDescent="0.2">
      <c r="A623" s="1" t="s">
        <v>273</v>
      </c>
      <c r="B623" s="2" t="s">
        <v>13</v>
      </c>
      <c r="C623" s="2" t="s">
        <v>9</v>
      </c>
      <c r="D623" s="2" t="s">
        <v>30</v>
      </c>
      <c r="E623">
        <v>5</v>
      </c>
      <c r="F623" s="3">
        <v>5623.25</v>
      </c>
      <c r="G623" s="3">
        <f t="shared" si="9"/>
        <v>28116.25</v>
      </c>
    </row>
    <row r="624" spans="1:7" x14ac:dyDescent="0.2">
      <c r="A624" s="1" t="s">
        <v>273</v>
      </c>
      <c r="B624" s="2" t="s">
        <v>16</v>
      </c>
      <c r="C624" s="2" t="s">
        <v>9</v>
      </c>
      <c r="D624" s="2" t="s">
        <v>17</v>
      </c>
      <c r="E624">
        <v>1</v>
      </c>
      <c r="F624" s="3">
        <v>5007.9799999999996</v>
      </c>
      <c r="G624" s="3">
        <f t="shared" si="9"/>
        <v>5007.9799999999996</v>
      </c>
    </row>
    <row r="625" spans="1:7" x14ac:dyDescent="0.2">
      <c r="A625" s="1" t="s">
        <v>273</v>
      </c>
      <c r="B625" s="2" t="s">
        <v>13</v>
      </c>
      <c r="C625" s="2" t="s">
        <v>9</v>
      </c>
      <c r="D625" s="2" t="s">
        <v>10</v>
      </c>
      <c r="E625">
        <v>3</v>
      </c>
      <c r="F625" s="3">
        <v>409.19</v>
      </c>
      <c r="G625" s="3">
        <f t="shared" si="9"/>
        <v>1227.57</v>
      </c>
    </row>
    <row r="626" spans="1:7" x14ac:dyDescent="0.2">
      <c r="A626" s="1" t="s">
        <v>274</v>
      </c>
      <c r="B626" s="2" t="s">
        <v>13</v>
      </c>
      <c r="C626" s="2" t="s">
        <v>21</v>
      </c>
      <c r="D626" s="2" t="s">
        <v>37</v>
      </c>
      <c r="E626">
        <v>3</v>
      </c>
      <c r="F626" s="3">
        <v>3062.78</v>
      </c>
      <c r="G626" s="3">
        <f t="shared" si="9"/>
        <v>9188.34</v>
      </c>
    </row>
    <row r="627" spans="1:7" x14ac:dyDescent="0.2">
      <c r="A627" s="1" t="s">
        <v>275</v>
      </c>
      <c r="B627" s="2" t="s">
        <v>8</v>
      </c>
      <c r="C627" s="2" t="s">
        <v>11</v>
      </c>
      <c r="D627" s="2" t="s">
        <v>14</v>
      </c>
      <c r="E627">
        <v>1</v>
      </c>
      <c r="F627" s="3">
        <v>1398.02</v>
      </c>
      <c r="G627" s="3">
        <f t="shared" si="9"/>
        <v>1398.02</v>
      </c>
    </row>
    <row r="628" spans="1:7" x14ac:dyDescent="0.2">
      <c r="A628" s="1" t="s">
        <v>275</v>
      </c>
      <c r="B628" s="2" t="s">
        <v>8</v>
      </c>
      <c r="C628" s="2" t="s">
        <v>25</v>
      </c>
      <c r="D628" s="2" t="s">
        <v>64</v>
      </c>
      <c r="E628">
        <v>7</v>
      </c>
      <c r="F628" s="3">
        <v>1331.47</v>
      </c>
      <c r="G628" s="3">
        <f t="shared" si="9"/>
        <v>9320.2900000000009</v>
      </c>
    </row>
    <row r="629" spans="1:7" x14ac:dyDescent="0.2">
      <c r="A629" s="1" t="s">
        <v>275</v>
      </c>
      <c r="B629" s="2" t="s">
        <v>16</v>
      </c>
      <c r="C629" s="2" t="s">
        <v>9</v>
      </c>
      <c r="D629" s="2" t="s">
        <v>30</v>
      </c>
      <c r="E629">
        <v>2</v>
      </c>
      <c r="F629" s="3">
        <v>4613.72</v>
      </c>
      <c r="G629" s="3">
        <f t="shared" si="9"/>
        <v>9227.44</v>
      </c>
    </row>
    <row r="630" spans="1:7" x14ac:dyDescent="0.2">
      <c r="A630" s="1" t="s">
        <v>275</v>
      </c>
      <c r="B630" s="2" t="s">
        <v>8</v>
      </c>
      <c r="C630" s="2" t="s">
        <v>21</v>
      </c>
      <c r="D630" s="2" t="s">
        <v>22</v>
      </c>
      <c r="E630">
        <v>1</v>
      </c>
      <c r="F630" s="3">
        <v>1190.6199999999999</v>
      </c>
      <c r="G630" s="3">
        <f t="shared" si="9"/>
        <v>1190.6199999999999</v>
      </c>
    </row>
    <row r="631" spans="1:7" x14ac:dyDescent="0.2">
      <c r="A631" s="1" t="s">
        <v>275</v>
      </c>
      <c r="B631" s="2" t="s">
        <v>16</v>
      </c>
      <c r="C631" s="2" t="s">
        <v>11</v>
      </c>
      <c r="D631" s="2" t="s">
        <v>20</v>
      </c>
      <c r="E631">
        <v>5</v>
      </c>
      <c r="F631" s="3">
        <v>1076.08</v>
      </c>
      <c r="G631" s="3">
        <f t="shared" si="9"/>
        <v>5380.4</v>
      </c>
    </row>
    <row r="632" spans="1:7" x14ac:dyDescent="0.2">
      <c r="A632" s="1" t="s">
        <v>275</v>
      </c>
      <c r="B632" s="2" t="s">
        <v>16</v>
      </c>
      <c r="C632" s="2" t="s">
        <v>21</v>
      </c>
      <c r="D632" s="2" t="s">
        <v>28</v>
      </c>
      <c r="E632">
        <v>5</v>
      </c>
      <c r="F632" s="3">
        <v>3576.78</v>
      </c>
      <c r="G632" s="3">
        <f t="shared" si="9"/>
        <v>17883.900000000001</v>
      </c>
    </row>
    <row r="633" spans="1:7" x14ac:dyDescent="0.2">
      <c r="A633" s="1" t="s">
        <v>276</v>
      </c>
      <c r="B633" s="2" t="s">
        <v>8</v>
      </c>
      <c r="C633" s="2" t="s">
        <v>9</v>
      </c>
      <c r="D633" s="2" t="s">
        <v>41</v>
      </c>
      <c r="E633">
        <v>6</v>
      </c>
      <c r="F633" s="3">
        <v>1449.99</v>
      </c>
      <c r="G633" s="3">
        <f t="shared" si="9"/>
        <v>8699.94</v>
      </c>
    </row>
    <row r="634" spans="1:7" x14ac:dyDescent="0.2">
      <c r="A634" s="1" t="s">
        <v>276</v>
      </c>
      <c r="B634" s="2" t="s">
        <v>13</v>
      </c>
      <c r="C634" s="2" t="s">
        <v>21</v>
      </c>
      <c r="D634" s="2" t="s">
        <v>27</v>
      </c>
      <c r="E634">
        <v>5</v>
      </c>
      <c r="F634" s="3">
        <v>1426.1</v>
      </c>
      <c r="G634" s="3">
        <f t="shared" si="9"/>
        <v>7130.5</v>
      </c>
    </row>
    <row r="635" spans="1:7" x14ac:dyDescent="0.2">
      <c r="A635" s="1" t="s">
        <v>276</v>
      </c>
      <c r="B635" s="2" t="s">
        <v>16</v>
      </c>
      <c r="C635" s="2" t="s">
        <v>21</v>
      </c>
      <c r="D635" s="2" t="s">
        <v>37</v>
      </c>
      <c r="E635">
        <v>6</v>
      </c>
      <c r="F635" s="3">
        <v>2032.87</v>
      </c>
      <c r="G635" s="3">
        <f t="shared" si="9"/>
        <v>12197.22</v>
      </c>
    </row>
    <row r="636" spans="1:7" x14ac:dyDescent="0.2">
      <c r="A636" s="1" t="s">
        <v>276</v>
      </c>
      <c r="B636" s="2" t="s">
        <v>13</v>
      </c>
      <c r="C636" s="2" t="s">
        <v>11</v>
      </c>
      <c r="D636" s="2" t="s">
        <v>14</v>
      </c>
      <c r="E636">
        <v>11</v>
      </c>
      <c r="F636" s="3">
        <v>1002.56</v>
      </c>
      <c r="G636" s="3">
        <f t="shared" si="9"/>
        <v>11028.16</v>
      </c>
    </row>
    <row r="637" spans="1:7" x14ac:dyDescent="0.2">
      <c r="A637" s="1" t="s">
        <v>276</v>
      </c>
      <c r="B637" s="2" t="s">
        <v>13</v>
      </c>
      <c r="C637" s="2" t="s">
        <v>25</v>
      </c>
      <c r="D637" s="2" t="s">
        <v>64</v>
      </c>
      <c r="E637">
        <v>5</v>
      </c>
      <c r="F637" s="3">
        <v>1592.62</v>
      </c>
      <c r="G637" s="3">
        <f t="shared" si="9"/>
        <v>7963.0999999999995</v>
      </c>
    </row>
    <row r="638" spans="1:7" x14ac:dyDescent="0.2">
      <c r="A638" s="1" t="s">
        <v>277</v>
      </c>
      <c r="B638" s="2" t="s">
        <v>13</v>
      </c>
      <c r="C638" s="2" t="s">
        <v>9</v>
      </c>
      <c r="D638" s="2" t="s">
        <v>17</v>
      </c>
      <c r="E638">
        <v>7</v>
      </c>
      <c r="F638" s="3">
        <v>4503.1899999999996</v>
      </c>
      <c r="G638" s="3">
        <f t="shared" si="9"/>
        <v>31522.329999999998</v>
      </c>
    </row>
    <row r="639" spans="1:7" x14ac:dyDescent="0.2">
      <c r="A639" s="1" t="s">
        <v>277</v>
      </c>
      <c r="B639" s="2" t="s">
        <v>13</v>
      </c>
      <c r="C639" s="2" t="s">
        <v>11</v>
      </c>
      <c r="D639" s="2" t="s">
        <v>14</v>
      </c>
      <c r="E639">
        <v>8</v>
      </c>
      <c r="F639" s="3">
        <v>1460.84</v>
      </c>
      <c r="G639" s="3">
        <f t="shared" si="9"/>
        <v>11686.72</v>
      </c>
    </row>
    <row r="640" spans="1:7" x14ac:dyDescent="0.2">
      <c r="A640" s="1" t="s">
        <v>277</v>
      </c>
      <c r="B640" s="2" t="s">
        <v>13</v>
      </c>
      <c r="C640" s="2" t="s">
        <v>25</v>
      </c>
      <c r="D640" s="2" t="s">
        <v>45</v>
      </c>
      <c r="E640">
        <v>5</v>
      </c>
      <c r="F640" s="3">
        <v>725.61</v>
      </c>
      <c r="G640" s="3">
        <f t="shared" si="9"/>
        <v>3628.05</v>
      </c>
    </row>
    <row r="641" spans="1:7" x14ac:dyDescent="0.2">
      <c r="A641" s="1" t="s">
        <v>277</v>
      </c>
      <c r="B641" s="2" t="s">
        <v>19</v>
      </c>
      <c r="C641" s="2" t="s">
        <v>9</v>
      </c>
      <c r="D641" s="2" t="s">
        <v>17</v>
      </c>
      <c r="E641">
        <v>3</v>
      </c>
      <c r="F641" s="3">
        <v>3593.22</v>
      </c>
      <c r="G641" s="3">
        <f t="shared" si="9"/>
        <v>10779.66</v>
      </c>
    </row>
    <row r="642" spans="1:7" x14ac:dyDescent="0.2">
      <c r="A642" s="1" t="s">
        <v>278</v>
      </c>
      <c r="B642" s="2" t="s">
        <v>13</v>
      </c>
      <c r="C642" s="2" t="s">
        <v>11</v>
      </c>
      <c r="D642" s="2" t="s">
        <v>14</v>
      </c>
      <c r="E642">
        <v>8</v>
      </c>
      <c r="F642" s="3">
        <v>1294.29</v>
      </c>
      <c r="G642" s="3">
        <f t="shared" ref="G642:G705" si="10">E642*F642</f>
        <v>10354.32</v>
      </c>
    </row>
    <row r="643" spans="1:7" x14ac:dyDescent="0.2">
      <c r="A643" s="1" t="s">
        <v>278</v>
      </c>
      <c r="B643" s="2" t="s">
        <v>16</v>
      </c>
      <c r="C643" s="2" t="s">
        <v>21</v>
      </c>
      <c r="D643" s="2" t="s">
        <v>58</v>
      </c>
      <c r="E643">
        <v>3</v>
      </c>
      <c r="F643" s="3">
        <v>2155.59</v>
      </c>
      <c r="G643" s="3">
        <f t="shared" si="10"/>
        <v>6466.77</v>
      </c>
    </row>
    <row r="644" spans="1:7" x14ac:dyDescent="0.2">
      <c r="A644" s="1" t="s">
        <v>278</v>
      </c>
      <c r="B644" s="2" t="s">
        <v>16</v>
      </c>
      <c r="C644" s="2" t="s">
        <v>9</v>
      </c>
      <c r="D644" s="2" t="s">
        <v>41</v>
      </c>
      <c r="E644">
        <v>6</v>
      </c>
      <c r="F644" s="3">
        <v>1920.03</v>
      </c>
      <c r="G644" s="3">
        <f t="shared" si="10"/>
        <v>11520.18</v>
      </c>
    </row>
    <row r="645" spans="1:7" x14ac:dyDescent="0.2">
      <c r="A645" s="1" t="s">
        <v>278</v>
      </c>
      <c r="B645" s="2" t="s">
        <v>13</v>
      </c>
      <c r="C645" s="2" t="s">
        <v>21</v>
      </c>
      <c r="D645" s="2" t="s">
        <v>27</v>
      </c>
      <c r="E645">
        <v>6</v>
      </c>
      <c r="F645" s="3">
        <v>1687.34</v>
      </c>
      <c r="G645" s="3">
        <f t="shared" si="10"/>
        <v>10124.039999999999</v>
      </c>
    </row>
    <row r="646" spans="1:7" x14ac:dyDescent="0.2">
      <c r="A646" s="1" t="s">
        <v>279</v>
      </c>
      <c r="B646" s="2" t="s">
        <v>16</v>
      </c>
      <c r="C646" s="2" t="s">
        <v>9</v>
      </c>
      <c r="D646" s="2" t="s">
        <v>41</v>
      </c>
      <c r="E646">
        <v>1</v>
      </c>
      <c r="F646" s="3">
        <v>2262.5</v>
      </c>
      <c r="G646" s="3">
        <f t="shared" si="10"/>
        <v>2262.5</v>
      </c>
    </row>
    <row r="647" spans="1:7" x14ac:dyDescent="0.2">
      <c r="A647" s="1" t="s">
        <v>279</v>
      </c>
      <c r="B647" s="2" t="s">
        <v>16</v>
      </c>
      <c r="C647" s="2" t="s">
        <v>21</v>
      </c>
      <c r="D647" s="2" t="s">
        <v>58</v>
      </c>
      <c r="E647">
        <v>2</v>
      </c>
      <c r="F647" s="3">
        <v>2185.77</v>
      </c>
      <c r="G647" s="3">
        <f t="shared" si="10"/>
        <v>4371.54</v>
      </c>
    </row>
    <row r="648" spans="1:7" x14ac:dyDescent="0.2">
      <c r="A648" s="1" t="s">
        <v>280</v>
      </c>
      <c r="B648" s="2" t="s">
        <v>16</v>
      </c>
      <c r="C648" s="2" t="s">
        <v>9</v>
      </c>
      <c r="D648" s="2" t="s">
        <v>17</v>
      </c>
      <c r="E648">
        <v>1</v>
      </c>
      <c r="F648" s="3">
        <v>5604.31</v>
      </c>
      <c r="G648" s="3">
        <f t="shared" si="10"/>
        <v>5604.31</v>
      </c>
    </row>
    <row r="649" spans="1:7" x14ac:dyDescent="0.2">
      <c r="A649" s="1" t="s">
        <v>280</v>
      </c>
      <c r="B649" s="2" t="s">
        <v>16</v>
      </c>
      <c r="C649" s="2" t="s">
        <v>11</v>
      </c>
      <c r="D649" s="2" t="s">
        <v>20</v>
      </c>
      <c r="E649">
        <v>4</v>
      </c>
      <c r="F649" s="3">
        <v>542.85</v>
      </c>
      <c r="G649" s="3">
        <f t="shared" si="10"/>
        <v>2171.4</v>
      </c>
    </row>
    <row r="650" spans="1:7" x14ac:dyDescent="0.2">
      <c r="A650" s="1" t="s">
        <v>280</v>
      </c>
      <c r="B650" s="2" t="s">
        <v>13</v>
      </c>
      <c r="C650" s="2" t="s">
        <v>25</v>
      </c>
      <c r="D650" s="2" t="s">
        <v>64</v>
      </c>
      <c r="E650">
        <v>4</v>
      </c>
      <c r="F650" s="3">
        <v>922.76</v>
      </c>
      <c r="G650" s="3">
        <f t="shared" si="10"/>
        <v>3691.04</v>
      </c>
    </row>
    <row r="651" spans="1:7" x14ac:dyDescent="0.2">
      <c r="A651" s="1" t="s">
        <v>280</v>
      </c>
      <c r="B651" s="2" t="s">
        <v>16</v>
      </c>
      <c r="C651" s="2" t="s">
        <v>9</v>
      </c>
      <c r="D651" s="2" t="s">
        <v>17</v>
      </c>
      <c r="E651">
        <v>1</v>
      </c>
      <c r="F651" s="3">
        <v>5936.01</v>
      </c>
      <c r="G651" s="3">
        <f t="shared" si="10"/>
        <v>5936.01</v>
      </c>
    </row>
    <row r="652" spans="1:7" x14ac:dyDescent="0.2">
      <c r="A652" s="1" t="s">
        <v>280</v>
      </c>
      <c r="B652" s="2" t="s">
        <v>16</v>
      </c>
      <c r="C652" s="2" t="s">
        <v>21</v>
      </c>
      <c r="D652" s="2" t="s">
        <v>27</v>
      </c>
      <c r="E652">
        <v>6</v>
      </c>
      <c r="F652" s="3">
        <v>1331.72</v>
      </c>
      <c r="G652" s="3">
        <f t="shared" si="10"/>
        <v>7990.32</v>
      </c>
    </row>
    <row r="653" spans="1:7" x14ac:dyDescent="0.2">
      <c r="A653" s="1" t="s">
        <v>280</v>
      </c>
      <c r="B653" s="2" t="s">
        <v>13</v>
      </c>
      <c r="C653" s="2" t="s">
        <v>25</v>
      </c>
      <c r="D653" s="2" t="s">
        <v>50</v>
      </c>
      <c r="E653">
        <v>7</v>
      </c>
      <c r="F653" s="3">
        <v>1980.22</v>
      </c>
      <c r="G653" s="3">
        <f t="shared" si="10"/>
        <v>13861.54</v>
      </c>
    </row>
    <row r="654" spans="1:7" x14ac:dyDescent="0.2">
      <c r="A654" s="1" t="s">
        <v>280</v>
      </c>
      <c r="B654" s="2" t="s">
        <v>8</v>
      </c>
      <c r="C654" s="2" t="s">
        <v>25</v>
      </c>
      <c r="D654" s="2" t="s">
        <v>26</v>
      </c>
      <c r="E654">
        <v>1</v>
      </c>
      <c r="F654" s="3">
        <v>1651.38</v>
      </c>
      <c r="G654" s="3">
        <f t="shared" si="10"/>
        <v>1651.38</v>
      </c>
    </row>
    <row r="655" spans="1:7" x14ac:dyDescent="0.2">
      <c r="A655" s="1" t="s">
        <v>281</v>
      </c>
      <c r="B655" s="2" t="s">
        <v>13</v>
      </c>
      <c r="C655" s="2" t="s">
        <v>9</v>
      </c>
      <c r="D655" s="2" t="s">
        <v>10</v>
      </c>
      <c r="E655">
        <v>7</v>
      </c>
      <c r="F655" s="3">
        <v>548.72</v>
      </c>
      <c r="G655" s="3">
        <f t="shared" si="10"/>
        <v>3841.04</v>
      </c>
    </row>
    <row r="656" spans="1:7" x14ac:dyDescent="0.2">
      <c r="A656" s="1" t="s">
        <v>281</v>
      </c>
      <c r="B656" s="2" t="s">
        <v>16</v>
      </c>
      <c r="C656" s="2" t="s">
        <v>25</v>
      </c>
      <c r="D656" s="2" t="s">
        <v>50</v>
      </c>
      <c r="E656">
        <v>1</v>
      </c>
      <c r="F656" s="3">
        <v>2181.13</v>
      </c>
      <c r="G656" s="3">
        <f t="shared" si="10"/>
        <v>2181.13</v>
      </c>
    </row>
    <row r="657" spans="1:7" x14ac:dyDescent="0.2">
      <c r="A657" s="1" t="s">
        <v>281</v>
      </c>
      <c r="B657" s="2" t="s">
        <v>8</v>
      </c>
      <c r="C657" s="2" t="s">
        <v>11</v>
      </c>
      <c r="D657" s="2" t="s">
        <v>48</v>
      </c>
      <c r="E657">
        <v>13</v>
      </c>
      <c r="F657" s="3">
        <v>3685.95</v>
      </c>
      <c r="G657" s="3">
        <f t="shared" si="10"/>
        <v>47917.35</v>
      </c>
    </row>
    <row r="658" spans="1:7" x14ac:dyDescent="0.2">
      <c r="A658" s="1" t="s">
        <v>282</v>
      </c>
      <c r="B658" s="2" t="s">
        <v>16</v>
      </c>
      <c r="C658" s="2" t="s">
        <v>25</v>
      </c>
      <c r="D658" s="2" t="s">
        <v>50</v>
      </c>
      <c r="E658">
        <v>8</v>
      </c>
      <c r="F658" s="3">
        <v>2085.09</v>
      </c>
      <c r="G658" s="3">
        <f t="shared" si="10"/>
        <v>16680.72</v>
      </c>
    </row>
    <row r="659" spans="1:7" x14ac:dyDescent="0.2">
      <c r="A659" s="1" t="s">
        <v>282</v>
      </c>
      <c r="B659" s="2" t="s">
        <v>19</v>
      </c>
      <c r="C659" s="2" t="s">
        <v>21</v>
      </c>
      <c r="D659" s="2" t="s">
        <v>58</v>
      </c>
      <c r="E659">
        <v>7</v>
      </c>
      <c r="F659" s="3">
        <v>2327.21</v>
      </c>
      <c r="G659" s="3">
        <f t="shared" si="10"/>
        <v>16290.470000000001</v>
      </c>
    </row>
    <row r="660" spans="1:7" x14ac:dyDescent="0.2">
      <c r="A660" s="1" t="s">
        <v>283</v>
      </c>
      <c r="B660" s="2" t="s">
        <v>13</v>
      </c>
      <c r="C660" s="2" t="s">
        <v>11</v>
      </c>
      <c r="D660" s="2" t="s">
        <v>14</v>
      </c>
      <c r="E660">
        <v>10</v>
      </c>
      <c r="F660" s="3">
        <v>1767.93</v>
      </c>
      <c r="G660" s="3">
        <f t="shared" si="10"/>
        <v>17679.3</v>
      </c>
    </row>
    <row r="661" spans="1:7" x14ac:dyDescent="0.2">
      <c r="A661" s="1" t="s">
        <v>283</v>
      </c>
      <c r="B661" s="2" t="s">
        <v>19</v>
      </c>
      <c r="C661" s="2" t="s">
        <v>21</v>
      </c>
      <c r="D661" s="2" t="s">
        <v>37</v>
      </c>
      <c r="E661">
        <v>1</v>
      </c>
      <c r="F661" s="3">
        <v>3156.59</v>
      </c>
      <c r="G661" s="3">
        <f t="shared" si="10"/>
        <v>3156.59</v>
      </c>
    </row>
    <row r="662" spans="1:7" x14ac:dyDescent="0.2">
      <c r="A662" s="1" t="s">
        <v>283</v>
      </c>
      <c r="B662" s="2" t="s">
        <v>16</v>
      </c>
      <c r="C662" s="2" t="s">
        <v>25</v>
      </c>
      <c r="D662" s="2" t="s">
        <v>64</v>
      </c>
      <c r="E662">
        <v>4</v>
      </c>
      <c r="F662" s="3">
        <v>1385.67</v>
      </c>
      <c r="G662" s="3">
        <f t="shared" si="10"/>
        <v>5542.68</v>
      </c>
    </row>
    <row r="663" spans="1:7" x14ac:dyDescent="0.2">
      <c r="A663" s="1" t="s">
        <v>283</v>
      </c>
      <c r="B663" s="2" t="s">
        <v>13</v>
      </c>
      <c r="C663" s="2" t="s">
        <v>11</v>
      </c>
      <c r="D663" s="2" t="s">
        <v>31</v>
      </c>
      <c r="E663">
        <v>4</v>
      </c>
      <c r="F663" s="3">
        <v>392.51</v>
      </c>
      <c r="G663" s="3">
        <f t="shared" si="10"/>
        <v>1570.04</v>
      </c>
    </row>
    <row r="664" spans="1:7" x14ac:dyDescent="0.2">
      <c r="A664" s="1" t="s">
        <v>284</v>
      </c>
      <c r="B664" s="2" t="s">
        <v>8</v>
      </c>
      <c r="C664" s="2" t="s">
        <v>21</v>
      </c>
      <c r="D664" s="2" t="s">
        <v>28</v>
      </c>
      <c r="E664">
        <v>9</v>
      </c>
      <c r="F664" s="3">
        <v>5257.48</v>
      </c>
      <c r="G664" s="3">
        <f t="shared" si="10"/>
        <v>47317.319999999992</v>
      </c>
    </row>
    <row r="665" spans="1:7" x14ac:dyDescent="0.2">
      <c r="A665" s="1" t="s">
        <v>284</v>
      </c>
      <c r="B665" s="2" t="s">
        <v>16</v>
      </c>
      <c r="C665" s="2" t="s">
        <v>25</v>
      </c>
      <c r="D665" s="2" t="s">
        <v>45</v>
      </c>
      <c r="E665">
        <v>4</v>
      </c>
      <c r="F665" s="3">
        <v>1186.54</v>
      </c>
      <c r="G665" s="3">
        <f t="shared" si="10"/>
        <v>4746.16</v>
      </c>
    </row>
    <row r="666" spans="1:7" x14ac:dyDescent="0.2">
      <c r="A666" s="1" t="s">
        <v>284</v>
      </c>
      <c r="B666" s="2" t="s">
        <v>16</v>
      </c>
      <c r="C666" s="2" t="s">
        <v>11</v>
      </c>
      <c r="D666" s="2" t="s">
        <v>48</v>
      </c>
      <c r="E666">
        <v>3</v>
      </c>
      <c r="F666" s="3">
        <v>2418.58</v>
      </c>
      <c r="G666" s="3">
        <f t="shared" si="10"/>
        <v>7255.74</v>
      </c>
    </row>
    <row r="667" spans="1:7" x14ac:dyDescent="0.2">
      <c r="A667" s="1" t="s">
        <v>284</v>
      </c>
      <c r="B667" s="2" t="s">
        <v>13</v>
      </c>
      <c r="C667" s="2" t="s">
        <v>11</v>
      </c>
      <c r="D667" s="2" t="s">
        <v>20</v>
      </c>
      <c r="E667">
        <v>1</v>
      </c>
      <c r="F667" s="3">
        <v>998.83</v>
      </c>
      <c r="G667" s="3">
        <f t="shared" si="10"/>
        <v>998.83</v>
      </c>
    </row>
    <row r="668" spans="1:7" x14ac:dyDescent="0.2">
      <c r="A668" s="1" t="s">
        <v>284</v>
      </c>
      <c r="B668" s="2" t="s">
        <v>16</v>
      </c>
      <c r="C668" s="2" t="s">
        <v>9</v>
      </c>
      <c r="D668" s="2" t="s">
        <v>17</v>
      </c>
      <c r="E668">
        <v>8</v>
      </c>
      <c r="F668" s="3">
        <v>5554.07</v>
      </c>
      <c r="G668" s="3">
        <f t="shared" si="10"/>
        <v>44432.56</v>
      </c>
    </row>
    <row r="669" spans="1:7" x14ac:dyDescent="0.2">
      <c r="A669" s="1" t="s">
        <v>285</v>
      </c>
      <c r="B669" s="2" t="s">
        <v>16</v>
      </c>
      <c r="C669" s="2" t="s">
        <v>9</v>
      </c>
      <c r="D669" s="2" t="s">
        <v>41</v>
      </c>
      <c r="E669">
        <v>3</v>
      </c>
      <c r="F669" s="3">
        <v>1570.25</v>
      </c>
      <c r="G669" s="3">
        <f t="shared" si="10"/>
        <v>4710.75</v>
      </c>
    </row>
    <row r="670" spans="1:7" x14ac:dyDescent="0.2">
      <c r="A670" s="1" t="s">
        <v>285</v>
      </c>
      <c r="B670" s="2" t="s">
        <v>16</v>
      </c>
      <c r="C670" s="2" t="s">
        <v>21</v>
      </c>
      <c r="D670" s="2" t="s">
        <v>22</v>
      </c>
      <c r="E670">
        <v>5</v>
      </c>
      <c r="F670" s="3">
        <v>758.71</v>
      </c>
      <c r="G670" s="3">
        <f t="shared" si="10"/>
        <v>3793.55</v>
      </c>
    </row>
    <row r="671" spans="1:7" x14ac:dyDescent="0.2">
      <c r="A671" s="1" t="s">
        <v>285</v>
      </c>
      <c r="B671" s="2" t="s">
        <v>13</v>
      </c>
      <c r="C671" s="2" t="s">
        <v>25</v>
      </c>
      <c r="D671" s="2" t="s">
        <v>36</v>
      </c>
      <c r="E671">
        <v>5</v>
      </c>
      <c r="F671" s="3">
        <v>681.9</v>
      </c>
      <c r="G671" s="3">
        <f t="shared" si="10"/>
        <v>3409.5</v>
      </c>
    </row>
    <row r="672" spans="1:7" x14ac:dyDescent="0.2">
      <c r="A672" s="1" t="s">
        <v>286</v>
      </c>
      <c r="B672" s="2" t="s">
        <v>16</v>
      </c>
      <c r="C672" s="2" t="s">
        <v>21</v>
      </c>
      <c r="D672" s="2" t="s">
        <v>22</v>
      </c>
      <c r="E672">
        <v>6</v>
      </c>
      <c r="F672" s="3">
        <v>1169.01</v>
      </c>
      <c r="G672" s="3">
        <f t="shared" si="10"/>
        <v>7014.0599999999995</v>
      </c>
    </row>
    <row r="673" spans="1:7" x14ac:dyDescent="0.2">
      <c r="A673" s="1" t="s">
        <v>286</v>
      </c>
      <c r="B673" s="2" t="s">
        <v>8</v>
      </c>
      <c r="C673" s="2" t="s">
        <v>11</v>
      </c>
      <c r="D673" s="2" t="s">
        <v>31</v>
      </c>
      <c r="E673">
        <v>11</v>
      </c>
      <c r="F673" s="3">
        <v>538</v>
      </c>
      <c r="G673" s="3">
        <f t="shared" si="10"/>
        <v>5918</v>
      </c>
    </row>
    <row r="674" spans="1:7" x14ac:dyDescent="0.2">
      <c r="A674" s="1" t="s">
        <v>287</v>
      </c>
      <c r="B674" s="2" t="s">
        <v>8</v>
      </c>
      <c r="C674" s="2" t="s">
        <v>11</v>
      </c>
      <c r="D674" s="2" t="s">
        <v>14</v>
      </c>
      <c r="E674">
        <v>5</v>
      </c>
      <c r="F674" s="3">
        <v>1566.83</v>
      </c>
      <c r="G674" s="3">
        <f t="shared" si="10"/>
        <v>7834.15</v>
      </c>
    </row>
    <row r="675" spans="1:7" x14ac:dyDescent="0.2">
      <c r="A675" s="1" t="s">
        <v>287</v>
      </c>
      <c r="B675" s="2" t="s">
        <v>19</v>
      </c>
      <c r="C675" s="2" t="s">
        <v>21</v>
      </c>
      <c r="D675" s="2" t="s">
        <v>37</v>
      </c>
      <c r="E675">
        <v>3</v>
      </c>
      <c r="F675" s="3">
        <v>2507.79</v>
      </c>
      <c r="G675" s="3">
        <f t="shared" si="10"/>
        <v>7523.37</v>
      </c>
    </row>
    <row r="676" spans="1:7" x14ac:dyDescent="0.2">
      <c r="A676" s="1" t="s">
        <v>287</v>
      </c>
      <c r="B676" s="2" t="s">
        <v>16</v>
      </c>
      <c r="C676" s="2" t="s">
        <v>21</v>
      </c>
      <c r="D676" s="2" t="s">
        <v>22</v>
      </c>
      <c r="E676">
        <v>5</v>
      </c>
      <c r="F676" s="3">
        <v>985.34</v>
      </c>
      <c r="G676" s="3">
        <f t="shared" si="10"/>
        <v>4926.7</v>
      </c>
    </row>
    <row r="677" spans="1:7" x14ac:dyDescent="0.2">
      <c r="A677" s="1" t="s">
        <v>288</v>
      </c>
      <c r="B677" s="2" t="s">
        <v>16</v>
      </c>
      <c r="C677" s="2" t="s">
        <v>25</v>
      </c>
      <c r="D677" s="2" t="s">
        <v>64</v>
      </c>
      <c r="E677">
        <v>4</v>
      </c>
      <c r="F677" s="3">
        <v>1478.15</v>
      </c>
      <c r="G677" s="3">
        <f t="shared" si="10"/>
        <v>5912.6</v>
      </c>
    </row>
    <row r="678" spans="1:7" x14ac:dyDescent="0.2">
      <c r="A678" s="1" t="s">
        <v>288</v>
      </c>
      <c r="B678" s="2" t="s">
        <v>19</v>
      </c>
      <c r="C678" s="2" t="s">
        <v>9</v>
      </c>
      <c r="D678" s="2" t="s">
        <v>30</v>
      </c>
      <c r="E678">
        <v>6</v>
      </c>
      <c r="F678" s="3">
        <v>8237.56</v>
      </c>
      <c r="G678" s="3">
        <f t="shared" si="10"/>
        <v>49425.36</v>
      </c>
    </row>
    <row r="679" spans="1:7" x14ac:dyDescent="0.2">
      <c r="A679" s="1" t="s">
        <v>288</v>
      </c>
      <c r="B679" s="2" t="s">
        <v>13</v>
      </c>
      <c r="C679" s="2" t="s">
        <v>11</v>
      </c>
      <c r="D679" s="2" t="s">
        <v>48</v>
      </c>
      <c r="E679">
        <v>10</v>
      </c>
      <c r="F679" s="3">
        <v>2139</v>
      </c>
      <c r="G679" s="3">
        <f t="shared" si="10"/>
        <v>21390</v>
      </c>
    </row>
    <row r="680" spans="1:7" x14ac:dyDescent="0.2">
      <c r="A680" s="1" t="s">
        <v>288</v>
      </c>
      <c r="B680" s="2" t="s">
        <v>19</v>
      </c>
      <c r="C680" s="2" t="s">
        <v>11</v>
      </c>
      <c r="D680" s="2" t="s">
        <v>14</v>
      </c>
      <c r="E680">
        <v>5</v>
      </c>
      <c r="F680" s="3">
        <v>1219.76</v>
      </c>
      <c r="G680" s="3">
        <f t="shared" si="10"/>
        <v>6098.8</v>
      </c>
    </row>
    <row r="681" spans="1:7" x14ac:dyDescent="0.2">
      <c r="A681" s="1" t="s">
        <v>288</v>
      </c>
      <c r="B681" s="2" t="s">
        <v>16</v>
      </c>
      <c r="C681" s="2" t="s">
        <v>25</v>
      </c>
      <c r="D681" s="2" t="s">
        <v>26</v>
      </c>
      <c r="E681">
        <v>6</v>
      </c>
      <c r="F681" s="3">
        <v>1906.45</v>
      </c>
      <c r="G681" s="3">
        <f t="shared" si="10"/>
        <v>11438.7</v>
      </c>
    </row>
    <row r="682" spans="1:7" x14ac:dyDescent="0.2">
      <c r="A682" s="1" t="s">
        <v>288</v>
      </c>
      <c r="B682" s="2" t="s">
        <v>8</v>
      </c>
      <c r="C682" s="2" t="s">
        <v>9</v>
      </c>
      <c r="D682" s="2" t="s">
        <v>10</v>
      </c>
      <c r="E682">
        <v>2</v>
      </c>
      <c r="F682" s="3">
        <v>575.54999999999995</v>
      </c>
      <c r="G682" s="3">
        <f t="shared" si="10"/>
        <v>1151.0999999999999</v>
      </c>
    </row>
    <row r="683" spans="1:7" x14ac:dyDescent="0.2">
      <c r="A683" s="1" t="s">
        <v>289</v>
      </c>
      <c r="B683" s="2" t="s">
        <v>8</v>
      </c>
      <c r="C683" s="2" t="s">
        <v>9</v>
      </c>
      <c r="D683" s="2" t="s">
        <v>17</v>
      </c>
      <c r="E683">
        <v>2</v>
      </c>
      <c r="F683" s="3">
        <v>5487.45</v>
      </c>
      <c r="G683" s="3">
        <f t="shared" si="10"/>
        <v>10974.9</v>
      </c>
    </row>
    <row r="684" spans="1:7" x14ac:dyDescent="0.2">
      <c r="A684" s="1" t="s">
        <v>289</v>
      </c>
      <c r="B684" s="2" t="s">
        <v>19</v>
      </c>
      <c r="C684" s="2" t="s">
        <v>9</v>
      </c>
      <c r="D684" s="2" t="s">
        <v>43</v>
      </c>
      <c r="E684">
        <v>3</v>
      </c>
      <c r="F684" s="3">
        <v>864.87</v>
      </c>
      <c r="G684" s="3">
        <f t="shared" si="10"/>
        <v>2594.61</v>
      </c>
    </row>
    <row r="685" spans="1:7" x14ac:dyDescent="0.2">
      <c r="A685" s="1" t="s">
        <v>289</v>
      </c>
      <c r="B685" s="2" t="s">
        <v>8</v>
      </c>
      <c r="C685" s="2" t="s">
        <v>25</v>
      </c>
      <c r="D685" s="2" t="s">
        <v>45</v>
      </c>
      <c r="E685">
        <v>8</v>
      </c>
      <c r="F685" s="3">
        <v>1079.9000000000001</v>
      </c>
      <c r="G685" s="3">
        <f t="shared" si="10"/>
        <v>8639.2000000000007</v>
      </c>
    </row>
    <row r="686" spans="1:7" x14ac:dyDescent="0.2">
      <c r="A686" s="1" t="s">
        <v>290</v>
      </c>
      <c r="B686" s="2" t="s">
        <v>19</v>
      </c>
      <c r="C686" s="2" t="s">
        <v>25</v>
      </c>
      <c r="D686" s="2" t="s">
        <v>64</v>
      </c>
      <c r="E686">
        <v>5</v>
      </c>
      <c r="F686" s="3">
        <v>1477.82</v>
      </c>
      <c r="G686" s="3">
        <f t="shared" si="10"/>
        <v>7389.0999999999995</v>
      </c>
    </row>
    <row r="687" spans="1:7" x14ac:dyDescent="0.2">
      <c r="A687" s="1" t="s">
        <v>290</v>
      </c>
      <c r="B687" s="2" t="s">
        <v>8</v>
      </c>
      <c r="C687" s="2" t="s">
        <v>21</v>
      </c>
      <c r="D687" s="2" t="s">
        <v>37</v>
      </c>
      <c r="E687">
        <v>6</v>
      </c>
      <c r="F687" s="3">
        <v>2711.58</v>
      </c>
      <c r="G687" s="3">
        <f t="shared" si="10"/>
        <v>16269.48</v>
      </c>
    </row>
    <row r="688" spans="1:7" x14ac:dyDescent="0.2">
      <c r="A688" s="1" t="s">
        <v>290</v>
      </c>
      <c r="B688" s="2" t="s">
        <v>16</v>
      </c>
      <c r="C688" s="2" t="s">
        <v>21</v>
      </c>
      <c r="D688" s="2" t="s">
        <v>37</v>
      </c>
      <c r="E688">
        <v>4</v>
      </c>
      <c r="F688" s="3">
        <v>2601.7800000000002</v>
      </c>
      <c r="G688" s="3">
        <f t="shared" si="10"/>
        <v>10407.120000000001</v>
      </c>
    </row>
    <row r="689" spans="1:7" x14ac:dyDescent="0.2">
      <c r="A689" s="1" t="s">
        <v>290</v>
      </c>
      <c r="B689" s="2" t="s">
        <v>16</v>
      </c>
      <c r="C689" s="2" t="s">
        <v>21</v>
      </c>
      <c r="D689" s="2" t="s">
        <v>58</v>
      </c>
      <c r="E689">
        <v>6</v>
      </c>
      <c r="F689" s="3">
        <v>2604.63</v>
      </c>
      <c r="G689" s="3">
        <f t="shared" si="10"/>
        <v>15627.78</v>
      </c>
    </row>
    <row r="690" spans="1:7" x14ac:dyDescent="0.2">
      <c r="A690" s="1" t="s">
        <v>291</v>
      </c>
      <c r="B690" s="2" t="s">
        <v>16</v>
      </c>
      <c r="C690" s="2" t="s">
        <v>21</v>
      </c>
      <c r="D690" s="2" t="s">
        <v>22</v>
      </c>
      <c r="E690">
        <v>5</v>
      </c>
      <c r="F690" s="3">
        <v>1243.02</v>
      </c>
      <c r="G690" s="3">
        <f t="shared" si="10"/>
        <v>6215.1</v>
      </c>
    </row>
    <row r="691" spans="1:7" x14ac:dyDescent="0.2">
      <c r="A691" s="1" t="s">
        <v>291</v>
      </c>
      <c r="B691" s="2" t="s">
        <v>16</v>
      </c>
      <c r="C691" s="2" t="s">
        <v>11</v>
      </c>
      <c r="D691" s="2" t="s">
        <v>31</v>
      </c>
      <c r="E691">
        <v>6</v>
      </c>
      <c r="F691" s="3">
        <v>555.23</v>
      </c>
      <c r="G691" s="3">
        <f t="shared" si="10"/>
        <v>3331.38</v>
      </c>
    </row>
    <row r="692" spans="1:7" x14ac:dyDescent="0.2">
      <c r="A692" s="1" t="s">
        <v>291</v>
      </c>
      <c r="B692" s="2" t="s">
        <v>16</v>
      </c>
      <c r="C692" s="2" t="s">
        <v>11</v>
      </c>
      <c r="D692" s="2" t="s">
        <v>12</v>
      </c>
      <c r="E692">
        <v>1</v>
      </c>
      <c r="F692" s="3">
        <v>1871.99</v>
      </c>
      <c r="G692" s="3">
        <f t="shared" si="10"/>
        <v>1871.99</v>
      </c>
    </row>
    <row r="693" spans="1:7" x14ac:dyDescent="0.2">
      <c r="A693" s="1" t="s">
        <v>291</v>
      </c>
      <c r="B693" s="2" t="s">
        <v>13</v>
      </c>
      <c r="C693" s="2" t="s">
        <v>11</v>
      </c>
      <c r="D693" s="2" t="s">
        <v>14</v>
      </c>
      <c r="E693">
        <v>6</v>
      </c>
      <c r="F693" s="3">
        <v>1037.8800000000001</v>
      </c>
      <c r="G693" s="3">
        <f t="shared" si="10"/>
        <v>6227.2800000000007</v>
      </c>
    </row>
    <row r="694" spans="1:7" x14ac:dyDescent="0.2">
      <c r="A694" s="1" t="s">
        <v>291</v>
      </c>
      <c r="B694" s="2" t="s">
        <v>8</v>
      </c>
      <c r="C694" s="2" t="s">
        <v>11</v>
      </c>
      <c r="D694" s="2" t="s">
        <v>14</v>
      </c>
      <c r="E694">
        <v>3</v>
      </c>
      <c r="F694" s="3">
        <v>1065.72</v>
      </c>
      <c r="G694" s="3">
        <f t="shared" si="10"/>
        <v>3197.16</v>
      </c>
    </row>
    <row r="695" spans="1:7" x14ac:dyDescent="0.2">
      <c r="A695" s="1" t="s">
        <v>292</v>
      </c>
      <c r="B695" s="2" t="s">
        <v>8</v>
      </c>
      <c r="C695" s="2" t="s">
        <v>21</v>
      </c>
      <c r="D695" s="2" t="s">
        <v>37</v>
      </c>
      <c r="E695">
        <v>1</v>
      </c>
      <c r="F695" s="3">
        <v>2743.56</v>
      </c>
      <c r="G695" s="3">
        <f t="shared" si="10"/>
        <v>2743.56</v>
      </c>
    </row>
    <row r="696" spans="1:7" x14ac:dyDescent="0.2">
      <c r="A696" s="1" t="s">
        <v>292</v>
      </c>
      <c r="B696" s="2" t="s">
        <v>8</v>
      </c>
      <c r="C696" s="2" t="s">
        <v>11</v>
      </c>
      <c r="D696" s="2" t="s">
        <v>14</v>
      </c>
      <c r="E696">
        <v>3</v>
      </c>
      <c r="F696" s="3">
        <v>1704.84</v>
      </c>
      <c r="G696" s="3">
        <f t="shared" si="10"/>
        <v>5114.5199999999995</v>
      </c>
    </row>
    <row r="697" spans="1:7" x14ac:dyDescent="0.2">
      <c r="A697" s="1" t="s">
        <v>293</v>
      </c>
      <c r="B697" s="2" t="s">
        <v>8</v>
      </c>
      <c r="C697" s="2" t="s">
        <v>25</v>
      </c>
      <c r="D697" s="2" t="s">
        <v>26</v>
      </c>
      <c r="E697">
        <v>7</v>
      </c>
      <c r="F697" s="3">
        <v>1136.3900000000001</v>
      </c>
      <c r="G697" s="3">
        <f t="shared" si="10"/>
        <v>7954.7300000000005</v>
      </c>
    </row>
    <row r="698" spans="1:7" x14ac:dyDescent="0.2">
      <c r="A698" s="1" t="s">
        <v>293</v>
      </c>
      <c r="B698" s="2" t="s">
        <v>19</v>
      </c>
      <c r="C698" s="2" t="s">
        <v>11</v>
      </c>
      <c r="D698" s="2" t="s">
        <v>31</v>
      </c>
      <c r="E698">
        <v>10</v>
      </c>
      <c r="F698" s="3">
        <v>410.52</v>
      </c>
      <c r="G698" s="3">
        <f t="shared" si="10"/>
        <v>4105.2</v>
      </c>
    </row>
    <row r="699" spans="1:7" x14ac:dyDescent="0.2">
      <c r="A699" s="1" t="s">
        <v>294</v>
      </c>
      <c r="B699" s="2" t="s">
        <v>16</v>
      </c>
      <c r="C699" s="2" t="s">
        <v>25</v>
      </c>
      <c r="D699" s="2" t="s">
        <v>50</v>
      </c>
      <c r="E699">
        <v>7</v>
      </c>
      <c r="F699" s="3">
        <v>1747.53</v>
      </c>
      <c r="G699" s="3">
        <f t="shared" si="10"/>
        <v>12232.71</v>
      </c>
    </row>
    <row r="700" spans="1:7" x14ac:dyDescent="0.2">
      <c r="A700" s="1" t="s">
        <v>294</v>
      </c>
      <c r="B700" s="2" t="s">
        <v>19</v>
      </c>
      <c r="C700" s="2" t="s">
        <v>11</v>
      </c>
      <c r="D700" s="2" t="s">
        <v>14</v>
      </c>
      <c r="E700">
        <v>4</v>
      </c>
      <c r="F700" s="3">
        <v>1761.95</v>
      </c>
      <c r="G700" s="3">
        <f t="shared" si="10"/>
        <v>7047.8</v>
      </c>
    </row>
    <row r="701" spans="1:7" x14ac:dyDescent="0.2">
      <c r="A701" s="1" t="s">
        <v>294</v>
      </c>
      <c r="B701" s="2" t="s">
        <v>19</v>
      </c>
      <c r="C701" s="2" t="s">
        <v>25</v>
      </c>
      <c r="D701" s="2" t="s">
        <v>64</v>
      </c>
      <c r="E701">
        <v>7</v>
      </c>
      <c r="F701" s="3">
        <v>1500.1</v>
      </c>
      <c r="G701" s="3">
        <f t="shared" si="10"/>
        <v>10500.699999999999</v>
      </c>
    </row>
    <row r="702" spans="1:7" x14ac:dyDescent="0.2">
      <c r="A702" s="1" t="s">
        <v>294</v>
      </c>
      <c r="B702" s="2" t="s">
        <v>19</v>
      </c>
      <c r="C702" s="2" t="s">
        <v>11</v>
      </c>
      <c r="D702" s="2" t="s">
        <v>20</v>
      </c>
      <c r="E702">
        <v>5</v>
      </c>
      <c r="F702" s="3">
        <v>661.45</v>
      </c>
      <c r="G702" s="3">
        <f t="shared" si="10"/>
        <v>3307.25</v>
      </c>
    </row>
    <row r="703" spans="1:7" x14ac:dyDescent="0.2">
      <c r="A703" s="1" t="s">
        <v>294</v>
      </c>
      <c r="B703" s="2" t="s">
        <v>19</v>
      </c>
      <c r="C703" s="2" t="s">
        <v>11</v>
      </c>
      <c r="D703" s="2" t="s">
        <v>14</v>
      </c>
      <c r="E703">
        <v>5</v>
      </c>
      <c r="F703" s="3">
        <v>1517.69</v>
      </c>
      <c r="G703" s="3">
        <f t="shared" si="10"/>
        <v>7588.4500000000007</v>
      </c>
    </row>
    <row r="704" spans="1:7" x14ac:dyDescent="0.2">
      <c r="A704" s="1" t="s">
        <v>294</v>
      </c>
      <c r="B704" s="2" t="s">
        <v>19</v>
      </c>
      <c r="C704" s="2" t="s">
        <v>11</v>
      </c>
      <c r="D704" s="2" t="s">
        <v>48</v>
      </c>
      <c r="E704">
        <v>2</v>
      </c>
      <c r="F704" s="3">
        <v>3241.63</v>
      </c>
      <c r="G704" s="3">
        <f t="shared" si="10"/>
        <v>6483.26</v>
      </c>
    </row>
    <row r="705" spans="1:7" x14ac:dyDescent="0.2">
      <c r="A705" s="1" t="s">
        <v>294</v>
      </c>
      <c r="B705" s="2" t="s">
        <v>19</v>
      </c>
      <c r="C705" s="2" t="s">
        <v>11</v>
      </c>
      <c r="D705" s="2" t="s">
        <v>48</v>
      </c>
      <c r="E705">
        <v>5</v>
      </c>
      <c r="F705" s="3">
        <v>2284.63</v>
      </c>
      <c r="G705" s="3">
        <f t="shared" si="10"/>
        <v>11423.150000000001</v>
      </c>
    </row>
    <row r="706" spans="1:7" x14ac:dyDescent="0.2">
      <c r="A706" s="1" t="s">
        <v>295</v>
      </c>
      <c r="B706" s="2" t="s">
        <v>19</v>
      </c>
      <c r="C706" s="2" t="s">
        <v>21</v>
      </c>
      <c r="D706" s="2" t="s">
        <v>58</v>
      </c>
      <c r="E706">
        <v>3</v>
      </c>
      <c r="F706" s="3">
        <v>1299.4000000000001</v>
      </c>
      <c r="G706" s="3">
        <f t="shared" ref="G706:G769" si="11">E706*F706</f>
        <v>3898.2000000000003</v>
      </c>
    </row>
    <row r="707" spans="1:7" x14ac:dyDescent="0.2">
      <c r="A707" s="1" t="s">
        <v>295</v>
      </c>
      <c r="B707" s="2" t="s">
        <v>13</v>
      </c>
      <c r="C707" s="2" t="s">
        <v>25</v>
      </c>
      <c r="D707" s="2" t="s">
        <v>45</v>
      </c>
      <c r="E707">
        <v>7</v>
      </c>
      <c r="F707" s="3">
        <v>978.25</v>
      </c>
      <c r="G707" s="3">
        <f t="shared" si="11"/>
        <v>6847.75</v>
      </c>
    </row>
    <row r="708" spans="1:7" x14ac:dyDescent="0.2">
      <c r="A708" s="1" t="s">
        <v>295</v>
      </c>
      <c r="B708" s="2" t="s">
        <v>8</v>
      </c>
      <c r="C708" s="2" t="s">
        <v>25</v>
      </c>
      <c r="D708" s="2" t="s">
        <v>64</v>
      </c>
      <c r="E708">
        <v>7</v>
      </c>
      <c r="F708" s="3">
        <v>1528.93</v>
      </c>
      <c r="G708" s="3">
        <f t="shared" si="11"/>
        <v>10702.51</v>
      </c>
    </row>
    <row r="709" spans="1:7" x14ac:dyDescent="0.2">
      <c r="A709" s="1" t="s">
        <v>295</v>
      </c>
      <c r="B709" s="2" t="s">
        <v>16</v>
      </c>
      <c r="C709" s="2" t="s">
        <v>11</v>
      </c>
      <c r="D709" s="2" t="s">
        <v>12</v>
      </c>
      <c r="E709">
        <v>9</v>
      </c>
      <c r="F709" s="3">
        <v>2263.59</v>
      </c>
      <c r="G709" s="3">
        <f t="shared" si="11"/>
        <v>20372.310000000001</v>
      </c>
    </row>
    <row r="710" spans="1:7" x14ac:dyDescent="0.2">
      <c r="A710" s="1" t="s">
        <v>296</v>
      </c>
      <c r="B710" s="2" t="s">
        <v>8</v>
      </c>
      <c r="C710" s="2" t="s">
        <v>25</v>
      </c>
      <c r="D710" s="2" t="s">
        <v>45</v>
      </c>
      <c r="E710">
        <v>7</v>
      </c>
      <c r="F710" s="3">
        <v>709.03</v>
      </c>
      <c r="G710" s="3">
        <f t="shared" si="11"/>
        <v>4963.21</v>
      </c>
    </row>
    <row r="711" spans="1:7" x14ac:dyDescent="0.2">
      <c r="A711" s="1" t="s">
        <v>296</v>
      </c>
      <c r="B711" s="2" t="s">
        <v>8</v>
      </c>
      <c r="C711" s="2" t="s">
        <v>9</v>
      </c>
      <c r="D711" s="2" t="s">
        <v>10</v>
      </c>
      <c r="E711">
        <v>8</v>
      </c>
      <c r="F711" s="3">
        <v>537.24</v>
      </c>
      <c r="G711" s="3">
        <f t="shared" si="11"/>
        <v>4297.92</v>
      </c>
    </row>
    <row r="712" spans="1:7" x14ac:dyDescent="0.2">
      <c r="A712" s="1" t="s">
        <v>296</v>
      </c>
      <c r="B712" s="2" t="s">
        <v>19</v>
      </c>
      <c r="C712" s="2" t="s">
        <v>9</v>
      </c>
      <c r="D712" s="2" t="s">
        <v>17</v>
      </c>
      <c r="E712">
        <v>5</v>
      </c>
      <c r="F712" s="3">
        <v>4052.85</v>
      </c>
      <c r="G712" s="3">
        <f t="shared" si="11"/>
        <v>20264.25</v>
      </c>
    </row>
    <row r="713" spans="1:7" x14ac:dyDescent="0.2">
      <c r="A713" s="1" t="s">
        <v>296</v>
      </c>
      <c r="B713" s="2" t="s">
        <v>8</v>
      </c>
      <c r="C713" s="2" t="s">
        <v>21</v>
      </c>
      <c r="D713" s="2" t="s">
        <v>58</v>
      </c>
      <c r="E713">
        <v>2</v>
      </c>
      <c r="F713" s="3">
        <v>2093.81</v>
      </c>
      <c r="G713" s="3">
        <f t="shared" si="11"/>
        <v>4187.62</v>
      </c>
    </row>
    <row r="714" spans="1:7" x14ac:dyDescent="0.2">
      <c r="A714" s="1" t="s">
        <v>296</v>
      </c>
      <c r="B714" s="2" t="s">
        <v>16</v>
      </c>
      <c r="C714" s="2" t="s">
        <v>9</v>
      </c>
      <c r="D714" s="2" t="s">
        <v>30</v>
      </c>
      <c r="E714">
        <v>8</v>
      </c>
      <c r="F714" s="3">
        <v>7964.85</v>
      </c>
      <c r="G714" s="3">
        <f t="shared" si="11"/>
        <v>63718.8</v>
      </c>
    </row>
    <row r="715" spans="1:7" x14ac:dyDescent="0.2">
      <c r="A715" s="1" t="s">
        <v>297</v>
      </c>
      <c r="B715" s="2" t="s">
        <v>8</v>
      </c>
      <c r="C715" s="2" t="s">
        <v>11</v>
      </c>
      <c r="D715" s="2" t="s">
        <v>14</v>
      </c>
      <c r="E715">
        <v>11</v>
      </c>
      <c r="F715" s="3">
        <v>901.52</v>
      </c>
      <c r="G715" s="3">
        <f t="shared" si="11"/>
        <v>9916.7199999999993</v>
      </c>
    </row>
    <row r="716" spans="1:7" x14ac:dyDescent="0.2">
      <c r="A716" s="1" t="s">
        <v>297</v>
      </c>
      <c r="B716" s="2" t="s">
        <v>16</v>
      </c>
      <c r="C716" s="2" t="s">
        <v>9</v>
      </c>
      <c r="D716" s="2" t="s">
        <v>43</v>
      </c>
      <c r="E716">
        <v>8</v>
      </c>
      <c r="F716" s="3">
        <v>1297.18</v>
      </c>
      <c r="G716" s="3">
        <f t="shared" si="11"/>
        <v>10377.44</v>
      </c>
    </row>
    <row r="717" spans="1:7" x14ac:dyDescent="0.2">
      <c r="A717" s="1" t="s">
        <v>297</v>
      </c>
      <c r="B717" s="2" t="s">
        <v>16</v>
      </c>
      <c r="C717" s="2" t="s">
        <v>11</v>
      </c>
      <c r="D717" s="2" t="s">
        <v>48</v>
      </c>
      <c r="E717">
        <v>9</v>
      </c>
      <c r="F717" s="3">
        <v>3588.31</v>
      </c>
      <c r="G717" s="3">
        <f t="shared" si="11"/>
        <v>32294.79</v>
      </c>
    </row>
    <row r="718" spans="1:7" x14ac:dyDescent="0.2">
      <c r="A718" s="1" t="s">
        <v>297</v>
      </c>
      <c r="B718" s="2" t="s">
        <v>16</v>
      </c>
      <c r="C718" s="2" t="s">
        <v>25</v>
      </c>
      <c r="D718" s="2" t="s">
        <v>36</v>
      </c>
      <c r="E718">
        <v>6</v>
      </c>
      <c r="F718" s="3">
        <v>573.97</v>
      </c>
      <c r="G718" s="3">
        <f t="shared" si="11"/>
        <v>3443.82</v>
      </c>
    </row>
    <row r="719" spans="1:7" x14ac:dyDescent="0.2">
      <c r="A719" s="1" t="s">
        <v>298</v>
      </c>
      <c r="B719" s="2" t="s">
        <v>13</v>
      </c>
      <c r="C719" s="2" t="s">
        <v>25</v>
      </c>
      <c r="D719" s="2" t="s">
        <v>50</v>
      </c>
      <c r="E719">
        <v>8</v>
      </c>
      <c r="F719" s="3">
        <v>1948.66</v>
      </c>
      <c r="G719" s="3">
        <f t="shared" si="11"/>
        <v>15589.28</v>
      </c>
    </row>
    <row r="720" spans="1:7" x14ac:dyDescent="0.2">
      <c r="A720" s="1" t="s">
        <v>298</v>
      </c>
      <c r="B720" s="2" t="s">
        <v>19</v>
      </c>
      <c r="C720" s="2" t="s">
        <v>11</v>
      </c>
      <c r="D720" s="2" t="s">
        <v>31</v>
      </c>
      <c r="E720">
        <v>4</v>
      </c>
      <c r="F720" s="3">
        <v>533.48</v>
      </c>
      <c r="G720" s="3">
        <f t="shared" si="11"/>
        <v>2133.92</v>
      </c>
    </row>
    <row r="721" spans="1:7" x14ac:dyDescent="0.2">
      <c r="A721" s="1" t="s">
        <v>298</v>
      </c>
      <c r="B721" s="2" t="s">
        <v>13</v>
      </c>
      <c r="C721" s="2" t="s">
        <v>21</v>
      </c>
      <c r="D721" s="2" t="s">
        <v>37</v>
      </c>
      <c r="E721">
        <v>2</v>
      </c>
      <c r="F721" s="3">
        <v>2557.63</v>
      </c>
      <c r="G721" s="3">
        <f t="shared" si="11"/>
        <v>5115.26</v>
      </c>
    </row>
    <row r="722" spans="1:7" x14ac:dyDescent="0.2">
      <c r="A722" s="1" t="s">
        <v>299</v>
      </c>
      <c r="B722" s="2" t="s">
        <v>13</v>
      </c>
      <c r="C722" s="2" t="s">
        <v>11</v>
      </c>
      <c r="D722" s="2" t="s">
        <v>14</v>
      </c>
      <c r="E722">
        <v>10</v>
      </c>
      <c r="F722" s="3">
        <v>1016.06</v>
      </c>
      <c r="G722" s="3">
        <f t="shared" si="11"/>
        <v>10160.599999999999</v>
      </c>
    </row>
    <row r="723" spans="1:7" x14ac:dyDescent="0.2">
      <c r="A723" s="1" t="s">
        <v>299</v>
      </c>
      <c r="B723" s="2" t="s">
        <v>19</v>
      </c>
      <c r="C723" s="2" t="s">
        <v>9</v>
      </c>
      <c r="D723" s="2" t="s">
        <v>41</v>
      </c>
      <c r="E723">
        <v>4</v>
      </c>
      <c r="F723" s="3">
        <v>2553.9</v>
      </c>
      <c r="G723" s="3">
        <f t="shared" si="11"/>
        <v>10215.6</v>
      </c>
    </row>
    <row r="724" spans="1:7" x14ac:dyDescent="0.2">
      <c r="A724" s="1" t="s">
        <v>299</v>
      </c>
      <c r="B724" s="2" t="s">
        <v>19</v>
      </c>
      <c r="C724" s="2" t="s">
        <v>11</v>
      </c>
      <c r="D724" s="2" t="s">
        <v>48</v>
      </c>
      <c r="E724">
        <v>6</v>
      </c>
      <c r="F724" s="3">
        <v>2135.44</v>
      </c>
      <c r="G724" s="3">
        <f t="shared" si="11"/>
        <v>12812.64</v>
      </c>
    </row>
    <row r="725" spans="1:7" x14ac:dyDescent="0.2">
      <c r="A725" s="1" t="s">
        <v>300</v>
      </c>
      <c r="B725" s="2" t="s">
        <v>13</v>
      </c>
      <c r="C725" s="2" t="s">
        <v>11</v>
      </c>
      <c r="D725" s="2" t="s">
        <v>12</v>
      </c>
      <c r="E725">
        <v>11</v>
      </c>
      <c r="F725" s="3">
        <v>1542.35</v>
      </c>
      <c r="G725" s="3">
        <f t="shared" si="11"/>
        <v>16965.849999999999</v>
      </c>
    </row>
    <row r="726" spans="1:7" x14ac:dyDescent="0.2">
      <c r="A726" s="1" t="s">
        <v>301</v>
      </c>
      <c r="B726" s="2" t="s">
        <v>8</v>
      </c>
      <c r="C726" s="2" t="s">
        <v>11</v>
      </c>
      <c r="D726" s="2" t="s">
        <v>20</v>
      </c>
      <c r="E726">
        <v>6</v>
      </c>
      <c r="F726" s="3">
        <v>882.77</v>
      </c>
      <c r="G726" s="3">
        <f t="shared" si="11"/>
        <v>5296.62</v>
      </c>
    </row>
    <row r="727" spans="1:7" x14ac:dyDescent="0.2">
      <c r="A727" s="1" t="s">
        <v>302</v>
      </c>
      <c r="B727" s="2" t="s">
        <v>16</v>
      </c>
      <c r="C727" s="2" t="s">
        <v>9</v>
      </c>
      <c r="D727" s="2" t="s">
        <v>41</v>
      </c>
      <c r="E727">
        <v>3</v>
      </c>
      <c r="F727" s="3">
        <v>2177.4</v>
      </c>
      <c r="G727" s="3">
        <f t="shared" si="11"/>
        <v>6532.2000000000007</v>
      </c>
    </row>
    <row r="728" spans="1:7" x14ac:dyDescent="0.2">
      <c r="A728" s="1" t="s">
        <v>302</v>
      </c>
      <c r="B728" s="2" t="s">
        <v>8</v>
      </c>
      <c r="C728" s="2" t="s">
        <v>11</v>
      </c>
      <c r="D728" s="2" t="s">
        <v>48</v>
      </c>
      <c r="E728">
        <v>3</v>
      </c>
      <c r="F728" s="3">
        <v>3215.68</v>
      </c>
      <c r="G728" s="3">
        <f t="shared" si="11"/>
        <v>9647.0399999999991</v>
      </c>
    </row>
    <row r="729" spans="1:7" x14ac:dyDescent="0.2">
      <c r="A729" s="1" t="s">
        <v>302</v>
      </c>
      <c r="B729" s="2" t="s">
        <v>8</v>
      </c>
      <c r="C729" s="2" t="s">
        <v>25</v>
      </c>
      <c r="D729" s="2" t="s">
        <v>64</v>
      </c>
      <c r="E729">
        <v>6</v>
      </c>
      <c r="F729" s="3">
        <v>1371.22</v>
      </c>
      <c r="G729" s="3">
        <f t="shared" si="11"/>
        <v>8227.32</v>
      </c>
    </row>
    <row r="730" spans="1:7" x14ac:dyDescent="0.2">
      <c r="A730" s="1" t="s">
        <v>302</v>
      </c>
      <c r="B730" s="2" t="s">
        <v>16</v>
      </c>
      <c r="C730" s="2" t="s">
        <v>11</v>
      </c>
      <c r="D730" s="2" t="s">
        <v>14</v>
      </c>
      <c r="E730">
        <v>12</v>
      </c>
      <c r="F730" s="3">
        <v>994.09</v>
      </c>
      <c r="G730" s="3">
        <f t="shared" si="11"/>
        <v>11929.08</v>
      </c>
    </row>
    <row r="731" spans="1:7" x14ac:dyDescent="0.2">
      <c r="A731" s="1" t="s">
        <v>303</v>
      </c>
      <c r="B731" s="2" t="s">
        <v>19</v>
      </c>
      <c r="C731" s="2" t="s">
        <v>11</v>
      </c>
      <c r="D731" s="2" t="s">
        <v>12</v>
      </c>
      <c r="E731">
        <v>1</v>
      </c>
      <c r="F731" s="3">
        <v>3152.89</v>
      </c>
      <c r="G731" s="3">
        <f t="shared" si="11"/>
        <v>3152.89</v>
      </c>
    </row>
    <row r="732" spans="1:7" x14ac:dyDescent="0.2">
      <c r="A732" s="1" t="s">
        <v>303</v>
      </c>
      <c r="B732" s="2" t="s">
        <v>8</v>
      </c>
      <c r="C732" s="2" t="s">
        <v>11</v>
      </c>
      <c r="D732" s="2" t="s">
        <v>12</v>
      </c>
      <c r="E732">
        <v>2</v>
      </c>
      <c r="F732" s="3">
        <v>1717.4</v>
      </c>
      <c r="G732" s="3">
        <f t="shared" si="11"/>
        <v>3434.8</v>
      </c>
    </row>
    <row r="733" spans="1:7" x14ac:dyDescent="0.2">
      <c r="A733" s="1" t="s">
        <v>304</v>
      </c>
      <c r="B733" s="2" t="s">
        <v>19</v>
      </c>
      <c r="C733" s="2" t="s">
        <v>21</v>
      </c>
      <c r="D733" s="2" t="s">
        <v>37</v>
      </c>
      <c r="E733">
        <v>3</v>
      </c>
      <c r="F733" s="3">
        <v>3013.59</v>
      </c>
      <c r="G733" s="3">
        <f t="shared" si="11"/>
        <v>9040.77</v>
      </c>
    </row>
    <row r="734" spans="1:7" x14ac:dyDescent="0.2">
      <c r="A734" s="1" t="s">
        <v>304</v>
      </c>
      <c r="B734" s="2" t="s">
        <v>19</v>
      </c>
      <c r="C734" s="2" t="s">
        <v>25</v>
      </c>
      <c r="D734" s="2" t="s">
        <v>64</v>
      </c>
      <c r="E734">
        <v>1</v>
      </c>
      <c r="F734" s="3">
        <v>898.47</v>
      </c>
      <c r="G734" s="3">
        <f t="shared" si="11"/>
        <v>898.47</v>
      </c>
    </row>
    <row r="735" spans="1:7" x14ac:dyDescent="0.2">
      <c r="A735" s="1" t="s">
        <v>304</v>
      </c>
      <c r="B735" s="2" t="s">
        <v>16</v>
      </c>
      <c r="C735" s="2" t="s">
        <v>9</v>
      </c>
      <c r="D735" s="2" t="s">
        <v>10</v>
      </c>
      <c r="E735">
        <v>1</v>
      </c>
      <c r="F735" s="3">
        <v>751.73</v>
      </c>
      <c r="G735" s="3">
        <f t="shared" si="11"/>
        <v>751.73</v>
      </c>
    </row>
    <row r="736" spans="1:7" x14ac:dyDescent="0.2">
      <c r="A736" s="1" t="s">
        <v>304</v>
      </c>
      <c r="B736" s="2" t="s">
        <v>19</v>
      </c>
      <c r="C736" s="2" t="s">
        <v>11</v>
      </c>
      <c r="D736" s="2" t="s">
        <v>20</v>
      </c>
      <c r="E736">
        <v>1</v>
      </c>
      <c r="F736" s="3">
        <v>1034.48</v>
      </c>
      <c r="G736" s="3">
        <f t="shared" si="11"/>
        <v>1034.48</v>
      </c>
    </row>
    <row r="737" spans="1:7" x14ac:dyDescent="0.2">
      <c r="A737" s="1" t="s">
        <v>305</v>
      </c>
      <c r="B737" s="2" t="s">
        <v>19</v>
      </c>
      <c r="C737" s="2" t="s">
        <v>11</v>
      </c>
      <c r="D737" s="2" t="s">
        <v>31</v>
      </c>
      <c r="E737">
        <v>5</v>
      </c>
      <c r="F737" s="3">
        <v>494.11</v>
      </c>
      <c r="G737" s="3">
        <f t="shared" si="11"/>
        <v>2470.5500000000002</v>
      </c>
    </row>
    <row r="738" spans="1:7" x14ac:dyDescent="0.2">
      <c r="A738" s="1" t="s">
        <v>306</v>
      </c>
      <c r="B738" s="2" t="s">
        <v>19</v>
      </c>
      <c r="C738" s="2" t="s">
        <v>21</v>
      </c>
      <c r="D738" s="2" t="s">
        <v>27</v>
      </c>
      <c r="E738">
        <v>6</v>
      </c>
      <c r="F738" s="3">
        <v>923.28</v>
      </c>
      <c r="G738" s="3">
        <f t="shared" si="11"/>
        <v>5539.68</v>
      </c>
    </row>
    <row r="739" spans="1:7" x14ac:dyDescent="0.2">
      <c r="A739" s="1" t="s">
        <v>306</v>
      </c>
      <c r="B739" s="2" t="s">
        <v>8</v>
      </c>
      <c r="C739" s="2" t="s">
        <v>11</v>
      </c>
      <c r="D739" s="2" t="s">
        <v>31</v>
      </c>
      <c r="E739">
        <v>11</v>
      </c>
      <c r="F739" s="3">
        <v>468.96</v>
      </c>
      <c r="G739" s="3">
        <f t="shared" si="11"/>
        <v>5158.5599999999995</v>
      </c>
    </row>
    <row r="740" spans="1:7" x14ac:dyDescent="0.2">
      <c r="A740" s="1" t="s">
        <v>306</v>
      </c>
      <c r="B740" s="2" t="s">
        <v>8</v>
      </c>
      <c r="C740" s="2" t="s">
        <v>21</v>
      </c>
      <c r="D740" s="2" t="s">
        <v>37</v>
      </c>
      <c r="E740">
        <v>7</v>
      </c>
      <c r="F740" s="3">
        <v>2874.29</v>
      </c>
      <c r="G740" s="3">
        <f t="shared" si="11"/>
        <v>20120.03</v>
      </c>
    </row>
    <row r="741" spans="1:7" x14ac:dyDescent="0.2">
      <c r="A741" s="1" t="s">
        <v>306</v>
      </c>
      <c r="B741" s="2" t="s">
        <v>8</v>
      </c>
      <c r="C741" s="2" t="s">
        <v>11</v>
      </c>
      <c r="D741" s="2" t="s">
        <v>48</v>
      </c>
      <c r="E741">
        <v>2</v>
      </c>
      <c r="F741" s="3">
        <v>2519.48</v>
      </c>
      <c r="G741" s="3">
        <f t="shared" si="11"/>
        <v>5038.96</v>
      </c>
    </row>
    <row r="742" spans="1:7" x14ac:dyDescent="0.2">
      <c r="A742" s="1" t="s">
        <v>307</v>
      </c>
      <c r="B742" s="2" t="s">
        <v>8</v>
      </c>
      <c r="C742" s="2" t="s">
        <v>9</v>
      </c>
      <c r="D742" s="2" t="s">
        <v>10</v>
      </c>
      <c r="E742">
        <v>5</v>
      </c>
      <c r="F742" s="3">
        <v>477.37</v>
      </c>
      <c r="G742" s="3">
        <f t="shared" si="11"/>
        <v>2386.85</v>
      </c>
    </row>
    <row r="743" spans="1:7" x14ac:dyDescent="0.2">
      <c r="A743" s="1" t="s">
        <v>307</v>
      </c>
      <c r="B743" s="2" t="s">
        <v>8</v>
      </c>
      <c r="C743" s="2" t="s">
        <v>21</v>
      </c>
      <c r="D743" s="2" t="s">
        <v>28</v>
      </c>
      <c r="E743">
        <v>9</v>
      </c>
      <c r="F743" s="3">
        <v>5350.96</v>
      </c>
      <c r="G743" s="3">
        <f t="shared" si="11"/>
        <v>48158.64</v>
      </c>
    </row>
    <row r="744" spans="1:7" x14ac:dyDescent="0.2">
      <c r="A744" s="1" t="s">
        <v>307</v>
      </c>
      <c r="B744" s="2" t="s">
        <v>19</v>
      </c>
      <c r="C744" s="2" t="s">
        <v>25</v>
      </c>
      <c r="D744" s="2" t="s">
        <v>26</v>
      </c>
      <c r="E744">
        <v>1</v>
      </c>
      <c r="F744" s="3">
        <v>1752.02</v>
      </c>
      <c r="G744" s="3">
        <f t="shared" si="11"/>
        <v>1752.02</v>
      </c>
    </row>
    <row r="745" spans="1:7" x14ac:dyDescent="0.2">
      <c r="A745" s="1" t="s">
        <v>308</v>
      </c>
      <c r="B745" s="2" t="s">
        <v>13</v>
      </c>
      <c r="C745" s="2" t="s">
        <v>11</v>
      </c>
      <c r="D745" s="2" t="s">
        <v>12</v>
      </c>
      <c r="E745">
        <v>10</v>
      </c>
      <c r="F745" s="3">
        <v>3146.83</v>
      </c>
      <c r="G745" s="3">
        <f t="shared" si="11"/>
        <v>31468.3</v>
      </c>
    </row>
    <row r="746" spans="1:7" x14ac:dyDescent="0.2">
      <c r="A746" s="1" t="s">
        <v>308</v>
      </c>
      <c r="B746" s="2" t="s">
        <v>8</v>
      </c>
      <c r="C746" s="2" t="s">
        <v>21</v>
      </c>
      <c r="D746" s="2" t="s">
        <v>27</v>
      </c>
      <c r="E746">
        <v>2</v>
      </c>
      <c r="F746" s="3">
        <v>1187.3800000000001</v>
      </c>
      <c r="G746" s="3">
        <f t="shared" si="11"/>
        <v>2374.7600000000002</v>
      </c>
    </row>
    <row r="747" spans="1:7" x14ac:dyDescent="0.2">
      <c r="A747" s="1" t="s">
        <v>309</v>
      </c>
      <c r="B747" s="2" t="s">
        <v>16</v>
      </c>
      <c r="C747" s="2" t="s">
        <v>25</v>
      </c>
      <c r="D747" s="2" t="s">
        <v>36</v>
      </c>
      <c r="E747">
        <v>2</v>
      </c>
      <c r="F747" s="3">
        <v>826.4</v>
      </c>
      <c r="G747" s="3">
        <f t="shared" si="11"/>
        <v>1652.8</v>
      </c>
    </row>
    <row r="748" spans="1:7" x14ac:dyDescent="0.2">
      <c r="A748" s="1" t="s">
        <v>309</v>
      </c>
      <c r="B748" s="2" t="s">
        <v>8</v>
      </c>
      <c r="C748" s="2" t="s">
        <v>11</v>
      </c>
      <c r="D748" s="2" t="s">
        <v>14</v>
      </c>
      <c r="E748">
        <v>13</v>
      </c>
      <c r="F748" s="3">
        <v>1686.71</v>
      </c>
      <c r="G748" s="3">
        <f t="shared" si="11"/>
        <v>21927.23</v>
      </c>
    </row>
    <row r="749" spans="1:7" x14ac:dyDescent="0.2">
      <c r="A749" s="1" t="s">
        <v>309</v>
      </c>
      <c r="B749" s="2" t="s">
        <v>19</v>
      </c>
      <c r="C749" s="2" t="s">
        <v>9</v>
      </c>
      <c r="D749" s="2" t="s">
        <v>17</v>
      </c>
      <c r="E749">
        <v>7</v>
      </c>
      <c r="F749" s="3">
        <v>6621.28</v>
      </c>
      <c r="G749" s="3">
        <f t="shared" si="11"/>
        <v>46348.959999999999</v>
      </c>
    </row>
    <row r="750" spans="1:7" x14ac:dyDescent="0.2">
      <c r="A750" s="1" t="s">
        <v>309</v>
      </c>
      <c r="B750" s="2" t="s">
        <v>8</v>
      </c>
      <c r="C750" s="2" t="s">
        <v>25</v>
      </c>
      <c r="D750" s="2" t="s">
        <v>26</v>
      </c>
      <c r="E750">
        <v>8</v>
      </c>
      <c r="F750" s="3">
        <v>1538.88</v>
      </c>
      <c r="G750" s="3">
        <f t="shared" si="11"/>
        <v>12311.04</v>
      </c>
    </row>
    <row r="751" spans="1:7" x14ac:dyDescent="0.2">
      <c r="A751" s="1" t="s">
        <v>310</v>
      </c>
      <c r="B751" s="2" t="s">
        <v>13</v>
      </c>
      <c r="C751" s="2" t="s">
        <v>21</v>
      </c>
      <c r="D751" s="2" t="s">
        <v>28</v>
      </c>
      <c r="E751">
        <v>2</v>
      </c>
      <c r="F751" s="3">
        <v>6011.01</v>
      </c>
      <c r="G751" s="3">
        <f t="shared" si="11"/>
        <v>12022.02</v>
      </c>
    </row>
    <row r="752" spans="1:7" x14ac:dyDescent="0.2">
      <c r="A752" s="1" t="s">
        <v>311</v>
      </c>
      <c r="B752" s="2" t="s">
        <v>16</v>
      </c>
      <c r="C752" s="2" t="s">
        <v>11</v>
      </c>
      <c r="D752" s="2" t="s">
        <v>14</v>
      </c>
      <c r="E752">
        <v>6</v>
      </c>
      <c r="F752" s="3">
        <v>1222.1300000000001</v>
      </c>
      <c r="G752" s="3">
        <f t="shared" si="11"/>
        <v>7332.7800000000007</v>
      </c>
    </row>
    <row r="753" spans="1:7" x14ac:dyDescent="0.2">
      <c r="A753" s="1" t="s">
        <v>312</v>
      </c>
      <c r="B753" s="2" t="s">
        <v>13</v>
      </c>
      <c r="C753" s="2" t="s">
        <v>21</v>
      </c>
      <c r="D753" s="2" t="s">
        <v>27</v>
      </c>
      <c r="E753">
        <v>6</v>
      </c>
      <c r="F753" s="3">
        <v>1546.51</v>
      </c>
      <c r="G753" s="3">
        <f t="shared" si="11"/>
        <v>9279.06</v>
      </c>
    </row>
    <row r="754" spans="1:7" x14ac:dyDescent="0.2">
      <c r="A754" s="1" t="s">
        <v>312</v>
      </c>
      <c r="B754" s="2" t="s">
        <v>13</v>
      </c>
      <c r="C754" s="2" t="s">
        <v>11</v>
      </c>
      <c r="D754" s="2" t="s">
        <v>14</v>
      </c>
      <c r="E754">
        <v>7</v>
      </c>
      <c r="F754" s="3">
        <v>1248.67</v>
      </c>
      <c r="G754" s="3">
        <f t="shared" si="11"/>
        <v>8740.69</v>
      </c>
    </row>
    <row r="755" spans="1:7" x14ac:dyDescent="0.2">
      <c r="A755" s="1" t="s">
        <v>312</v>
      </c>
      <c r="B755" s="2" t="s">
        <v>8</v>
      </c>
      <c r="C755" s="2" t="s">
        <v>9</v>
      </c>
      <c r="D755" s="2" t="s">
        <v>30</v>
      </c>
      <c r="E755">
        <v>5</v>
      </c>
      <c r="F755" s="3">
        <v>5892.61</v>
      </c>
      <c r="G755" s="3">
        <f t="shared" si="11"/>
        <v>29463.05</v>
      </c>
    </row>
    <row r="756" spans="1:7" x14ac:dyDescent="0.2">
      <c r="A756" s="1" t="s">
        <v>312</v>
      </c>
      <c r="B756" s="2" t="s">
        <v>8</v>
      </c>
      <c r="C756" s="2" t="s">
        <v>25</v>
      </c>
      <c r="D756" s="2" t="s">
        <v>64</v>
      </c>
      <c r="E756">
        <v>7</v>
      </c>
      <c r="F756" s="3">
        <v>1460.97</v>
      </c>
      <c r="G756" s="3">
        <f t="shared" si="11"/>
        <v>10226.790000000001</v>
      </c>
    </row>
    <row r="757" spans="1:7" x14ac:dyDescent="0.2">
      <c r="A757" s="1" t="s">
        <v>312</v>
      </c>
      <c r="B757" s="2" t="s">
        <v>19</v>
      </c>
      <c r="C757" s="2" t="s">
        <v>25</v>
      </c>
      <c r="D757" s="2" t="s">
        <v>50</v>
      </c>
      <c r="E757">
        <v>3</v>
      </c>
      <c r="F757" s="3">
        <v>2557.59</v>
      </c>
      <c r="G757" s="3">
        <f t="shared" si="11"/>
        <v>7672.77</v>
      </c>
    </row>
    <row r="758" spans="1:7" x14ac:dyDescent="0.2">
      <c r="A758" s="1" t="s">
        <v>313</v>
      </c>
      <c r="B758" s="2" t="s">
        <v>16</v>
      </c>
      <c r="C758" s="2" t="s">
        <v>21</v>
      </c>
      <c r="D758" s="2" t="s">
        <v>22</v>
      </c>
      <c r="E758">
        <v>11</v>
      </c>
      <c r="F758" s="3">
        <v>1376.77</v>
      </c>
      <c r="G758" s="3">
        <f t="shared" si="11"/>
        <v>15144.47</v>
      </c>
    </row>
    <row r="759" spans="1:7" x14ac:dyDescent="0.2">
      <c r="A759" s="1" t="s">
        <v>313</v>
      </c>
      <c r="B759" s="2" t="s">
        <v>19</v>
      </c>
      <c r="C759" s="2" t="s">
        <v>21</v>
      </c>
      <c r="D759" s="2" t="s">
        <v>58</v>
      </c>
      <c r="E759">
        <v>4</v>
      </c>
      <c r="F759" s="3">
        <v>1391.11</v>
      </c>
      <c r="G759" s="3">
        <f t="shared" si="11"/>
        <v>5564.44</v>
      </c>
    </row>
    <row r="760" spans="1:7" x14ac:dyDescent="0.2">
      <c r="A760" s="1" t="s">
        <v>313</v>
      </c>
      <c r="B760" s="2" t="s">
        <v>8</v>
      </c>
      <c r="C760" s="2" t="s">
        <v>11</v>
      </c>
      <c r="D760" s="2" t="s">
        <v>48</v>
      </c>
      <c r="E760">
        <v>13</v>
      </c>
      <c r="F760" s="3">
        <v>2081.29</v>
      </c>
      <c r="G760" s="3">
        <f t="shared" si="11"/>
        <v>27056.77</v>
      </c>
    </row>
    <row r="761" spans="1:7" x14ac:dyDescent="0.2">
      <c r="A761" s="1" t="s">
        <v>313</v>
      </c>
      <c r="B761" s="2" t="s">
        <v>19</v>
      </c>
      <c r="C761" s="2" t="s">
        <v>9</v>
      </c>
      <c r="D761" s="2" t="s">
        <v>43</v>
      </c>
      <c r="E761">
        <v>3</v>
      </c>
      <c r="F761" s="3">
        <v>788.59</v>
      </c>
      <c r="G761" s="3">
        <f t="shared" si="11"/>
        <v>2365.77</v>
      </c>
    </row>
    <row r="762" spans="1:7" x14ac:dyDescent="0.2">
      <c r="A762" s="1" t="s">
        <v>313</v>
      </c>
      <c r="B762" s="2" t="s">
        <v>8</v>
      </c>
      <c r="C762" s="2" t="s">
        <v>9</v>
      </c>
      <c r="D762" s="2" t="s">
        <v>10</v>
      </c>
      <c r="E762">
        <v>8</v>
      </c>
      <c r="F762" s="3">
        <v>505.27</v>
      </c>
      <c r="G762" s="3">
        <f t="shared" si="11"/>
        <v>4042.16</v>
      </c>
    </row>
    <row r="763" spans="1:7" x14ac:dyDescent="0.2">
      <c r="A763" s="1" t="s">
        <v>313</v>
      </c>
      <c r="B763" s="2" t="s">
        <v>19</v>
      </c>
      <c r="C763" s="2" t="s">
        <v>9</v>
      </c>
      <c r="D763" s="2" t="s">
        <v>10</v>
      </c>
      <c r="E763">
        <v>4</v>
      </c>
      <c r="F763" s="3">
        <v>606.45000000000005</v>
      </c>
      <c r="G763" s="3">
        <f t="shared" si="11"/>
        <v>2425.8000000000002</v>
      </c>
    </row>
    <row r="764" spans="1:7" x14ac:dyDescent="0.2">
      <c r="A764" s="1" t="s">
        <v>314</v>
      </c>
      <c r="B764" s="2" t="s">
        <v>19</v>
      </c>
      <c r="C764" s="2" t="s">
        <v>11</v>
      </c>
      <c r="D764" s="2" t="s">
        <v>12</v>
      </c>
      <c r="E764">
        <v>8</v>
      </c>
      <c r="F764" s="3">
        <v>1507.57</v>
      </c>
      <c r="G764" s="3">
        <f t="shared" si="11"/>
        <v>12060.56</v>
      </c>
    </row>
    <row r="765" spans="1:7" x14ac:dyDescent="0.2">
      <c r="A765" s="1" t="s">
        <v>314</v>
      </c>
      <c r="B765" s="2" t="s">
        <v>8</v>
      </c>
      <c r="C765" s="2" t="s">
        <v>11</v>
      </c>
      <c r="D765" s="2" t="s">
        <v>48</v>
      </c>
      <c r="E765">
        <v>5</v>
      </c>
      <c r="F765" s="3">
        <v>2158.29</v>
      </c>
      <c r="G765" s="3">
        <f t="shared" si="11"/>
        <v>10791.45</v>
      </c>
    </row>
    <row r="766" spans="1:7" x14ac:dyDescent="0.2">
      <c r="A766" s="1" t="s">
        <v>314</v>
      </c>
      <c r="B766" s="2" t="s">
        <v>13</v>
      </c>
      <c r="C766" s="2" t="s">
        <v>21</v>
      </c>
      <c r="D766" s="2" t="s">
        <v>28</v>
      </c>
      <c r="E766">
        <v>2</v>
      </c>
      <c r="F766" s="3">
        <v>5717.48</v>
      </c>
      <c r="G766" s="3">
        <f t="shared" si="11"/>
        <v>11434.96</v>
      </c>
    </row>
    <row r="767" spans="1:7" x14ac:dyDescent="0.2">
      <c r="A767" s="1" t="s">
        <v>315</v>
      </c>
      <c r="B767" s="2" t="s">
        <v>13</v>
      </c>
      <c r="C767" s="2" t="s">
        <v>9</v>
      </c>
      <c r="D767" s="2" t="s">
        <v>17</v>
      </c>
      <c r="E767">
        <v>8</v>
      </c>
      <c r="F767" s="3">
        <v>5751.46</v>
      </c>
      <c r="G767" s="3">
        <f t="shared" si="11"/>
        <v>46011.68</v>
      </c>
    </row>
    <row r="768" spans="1:7" x14ac:dyDescent="0.2">
      <c r="A768" s="1" t="s">
        <v>315</v>
      </c>
      <c r="B768" s="2" t="s">
        <v>8</v>
      </c>
      <c r="C768" s="2" t="s">
        <v>25</v>
      </c>
      <c r="D768" s="2" t="s">
        <v>50</v>
      </c>
      <c r="E768">
        <v>2</v>
      </c>
      <c r="F768" s="3">
        <v>1682.02</v>
      </c>
      <c r="G768" s="3">
        <f t="shared" si="11"/>
        <v>3364.04</v>
      </c>
    </row>
    <row r="769" spans="1:7" x14ac:dyDescent="0.2">
      <c r="A769" s="1" t="s">
        <v>316</v>
      </c>
      <c r="B769" s="2" t="s">
        <v>8</v>
      </c>
      <c r="C769" s="2" t="s">
        <v>9</v>
      </c>
      <c r="D769" s="2" t="s">
        <v>17</v>
      </c>
      <c r="E769">
        <v>2</v>
      </c>
      <c r="F769" s="3">
        <v>3364.97</v>
      </c>
      <c r="G769" s="3">
        <f t="shared" si="11"/>
        <v>6729.94</v>
      </c>
    </row>
    <row r="770" spans="1:7" x14ac:dyDescent="0.2">
      <c r="A770" s="1" t="s">
        <v>316</v>
      </c>
      <c r="B770" s="2" t="s">
        <v>8</v>
      </c>
      <c r="C770" s="2" t="s">
        <v>25</v>
      </c>
      <c r="D770" s="2" t="s">
        <v>26</v>
      </c>
      <c r="E770">
        <v>2</v>
      </c>
      <c r="F770" s="3">
        <v>1216.31</v>
      </c>
      <c r="G770" s="3">
        <f t="shared" ref="G770:G833" si="12">E770*F770</f>
        <v>2432.62</v>
      </c>
    </row>
    <row r="771" spans="1:7" x14ac:dyDescent="0.2">
      <c r="A771" s="1" t="s">
        <v>316</v>
      </c>
      <c r="B771" s="2" t="s">
        <v>19</v>
      </c>
      <c r="C771" s="2" t="s">
        <v>9</v>
      </c>
      <c r="D771" s="2" t="s">
        <v>43</v>
      </c>
      <c r="E771">
        <v>2</v>
      </c>
      <c r="F771" s="3">
        <v>787.58</v>
      </c>
      <c r="G771" s="3">
        <f t="shared" si="12"/>
        <v>1575.16</v>
      </c>
    </row>
    <row r="772" spans="1:7" x14ac:dyDescent="0.2">
      <c r="A772" s="1" t="s">
        <v>316</v>
      </c>
      <c r="B772" s="2" t="s">
        <v>16</v>
      </c>
      <c r="C772" s="2" t="s">
        <v>11</v>
      </c>
      <c r="D772" s="2" t="s">
        <v>14</v>
      </c>
      <c r="E772">
        <v>3</v>
      </c>
      <c r="F772" s="3">
        <v>1504.9</v>
      </c>
      <c r="G772" s="3">
        <f t="shared" si="12"/>
        <v>4514.7000000000007</v>
      </c>
    </row>
    <row r="773" spans="1:7" x14ac:dyDescent="0.2">
      <c r="A773" s="1" t="s">
        <v>316</v>
      </c>
      <c r="B773" s="2" t="s">
        <v>16</v>
      </c>
      <c r="C773" s="2" t="s">
        <v>25</v>
      </c>
      <c r="D773" s="2" t="s">
        <v>64</v>
      </c>
      <c r="E773">
        <v>1</v>
      </c>
      <c r="F773" s="3">
        <v>803.25</v>
      </c>
      <c r="G773" s="3">
        <f t="shared" si="12"/>
        <v>803.25</v>
      </c>
    </row>
    <row r="774" spans="1:7" x14ac:dyDescent="0.2">
      <c r="A774" s="1" t="s">
        <v>316</v>
      </c>
      <c r="B774" s="2" t="s">
        <v>8</v>
      </c>
      <c r="C774" s="2" t="s">
        <v>9</v>
      </c>
      <c r="D774" s="2" t="s">
        <v>41</v>
      </c>
      <c r="E774">
        <v>3</v>
      </c>
      <c r="F774" s="3">
        <v>2181.86</v>
      </c>
      <c r="G774" s="3">
        <f t="shared" si="12"/>
        <v>6545.58</v>
      </c>
    </row>
    <row r="775" spans="1:7" x14ac:dyDescent="0.2">
      <c r="A775" s="1" t="s">
        <v>317</v>
      </c>
      <c r="B775" s="2" t="s">
        <v>16</v>
      </c>
      <c r="C775" s="2" t="s">
        <v>21</v>
      </c>
      <c r="D775" s="2" t="s">
        <v>22</v>
      </c>
      <c r="E775">
        <v>3</v>
      </c>
      <c r="F775" s="3">
        <v>1363.31</v>
      </c>
      <c r="G775" s="3">
        <f t="shared" si="12"/>
        <v>4089.93</v>
      </c>
    </row>
    <row r="776" spans="1:7" x14ac:dyDescent="0.2">
      <c r="A776" s="1" t="s">
        <v>317</v>
      </c>
      <c r="B776" s="2" t="s">
        <v>16</v>
      </c>
      <c r="C776" s="2" t="s">
        <v>25</v>
      </c>
      <c r="D776" s="2" t="s">
        <v>50</v>
      </c>
      <c r="E776">
        <v>4</v>
      </c>
      <c r="F776" s="3">
        <v>1541.04</v>
      </c>
      <c r="G776" s="3">
        <f t="shared" si="12"/>
        <v>6164.16</v>
      </c>
    </row>
    <row r="777" spans="1:7" x14ac:dyDescent="0.2">
      <c r="A777" s="1" t="s">
        <v>317</v>
      </c>
      <c r="B777" s="2" t="s">
        <v>19</v>
      </c>
      <c r="C777" s="2" t="s">
        <v>25</v>
      </c>
      <c r="D777" s="2" t="s">
        <v>26</v>
      </c>
      <c r="E777">
        <v>2</v>
      </c>
      <c r="F777" s="3">
        <v>1026.67</v>
      </c>
      <c r="G777" s="3">
        <f t="shared" si="12"/>
        <v>2053.34</v>
      </c>
    </row>
    <row r="778" spans="1:7" x14ac:dyDescent="0.2">
      <c r="A778" s="1" t="s">
        <v>317</v>
      </c>
      <c r="B778" s="2" t="s">
        <v>8</v>
      </c>
      <c r="C778" s="2" t="s">
        <v>11</v>
      </c>
      <c r="D778" s="2" t="s">
        <v>14</v>
      </c>
      <c r="E778">
        <v>3</v>
      </c>
      <c r="F778" s="3">
        <v>1174.6099999999999</v>
      </c>
      <c r="G778" s="3">
        <f t="shared" si="12"/>
        <v>3523.83</v>
      </c>
    </row>
    <row r="779" spans="1:7" x14ac:dyDescent="0.2">
      <c r="A779" s="1" t="s">
        <v>318</v>
      </c>
      <c r="B779" s="2" t="s">
        <v>19</v>
      </c>
      <c r="C779" s="2" t="s">
        <v>21</v>
      </c>
      <c r="D779" s="2" t="s">
        <v>37</v>
      </c>
      <c r="E779">
        <v>6</v>
      </c>
      <c r="F779" s="3">
        <v>1985.44</v>
      </c>
      <c r="G779" s="3">
        <f t="shared" si="12"/>
        <v>11912.64</v>
      </c>
    </row>
    <row r="780" spans="1:7" x14ac:dyDescent="0.2">
      <c r="A780" s="1" t="s">
        <v>318</v>
      </c>
      <c r="B780" s="2" t="s">
        <v>8</v>
      </c>
      <c r="C780" s="2" t="s">
        <v>25</v>
      </c>
      <c r="D780" s="2" t="s">
        <v>36</v>
      </c>
      <c r="E780">
        <v>9</v>
      </c>
      <c r="F780" s="3">
        <v>698.37</v>
      </c>
      <c r="G780" s="3">
        <f t="shared" si="12"/>
        <v>6285.33</v>
      </c>
    </row>
    <row r="781" spans="1:7" x14ac:dyDescent="0.2">
      <c r="A781" s="1" t="s">
        <v>319</v>
      </c>
      <c r="B781" s="2" t="s">
        <v>16</v>
      </c>
      <c r="C781" s="2" t="s">
        <v>21</v>
      </c>
      <c r="D781" s="2" t="s">
        <v>28</v>
      </c>
      <c r="E781">
        <v>11</v>
      </c>
      <c r="F781" s="3">
        <v>3992.79</v>
      </c>
      <c r="G781" s="3">
        <f t="shared" si="12"/>
        <v>43920.69</v>
      </c>
    </row>
    <row r="782" spans="1:7" x14ac:dyDescent="0.2">
      <c r="A782" s="1" t="s">
        <v>319</v>
      </c>
      <c r="B782" s="2" t="s">
        <v>16</v>
      </c>
      <c r="C782" s="2" t="s">
        <v>21</v>
      </c>
      <c r="D782" s="2" t="s">
        <v>22</v>
      </c>
      <c r="E782">
        <v>3</v>
      </c>
      <c r="F782" s="3">
        <v>1157.5</v>
      </c>
      <c r="G782" s="3">
        <f t="shared" si="12"/>
        <v>3472.5</v>
      </c>
    </row>
    <row r="783" spans="1:7" x14ac:dyDescent="0.2">
      <c r="A783" s="1" t="s">
        <v>319</v>
      </c>
      <c r="B783" s="2" t="s">
        <v>16</v>
      </c>
      <c r="C783" s="2" t="s">
        <v>9</v>
      </c>
      <c r="D783" s="2" t="s">
        <v>10</v>
      </c>
      <c r="E783">
        <v>3</v>
      </c>
      <c r="F783" s="3">
        <v>890.67</v>
      </c>
      <c r="G783" s="3">
        <f t="shared" si="12"/>
        <v>2672.0099999999998</v>
      </c>
    </row>
    <row r="784" spans="1:7" x14ac:dyDescent="0.2">
      <c r="A784" s="1" t="s">
        <v>320</v>
      </c>
      <c r="B784" s="2" t="s">
        <v>8</v>
      </c>
      <c r="C784" s="2" t="s">
        <v>25</v>
      </c>
      <c r="D784" s="2" t="s">
        <v>64</v>
      </c>
      <c r="E784">
        <v>2</v>
      </c>
      <c r="F784" s="3">
        <v>911.29</v>
      </c>
      <c r="G784" s="3">
        <f t="shared" si="12"/>
        <v>1822.58</v>
      </c>
    </row>
    <row r="785" spans="1:7" x14ac:dyDescent="0.2">
      <c r="A785" s="1" t="s">
        <v>320</v>
      </c>
      <c r="B785" s="2" t="s">
        <v>13</v>
      </c>
      <c r="C785" s="2" t="s">
        <v>9</v>
      </c>
      <c r="D785" s="2" t="s">
        <v>43</v>
      </c>
      <c r="E785">
        <v>2</v>
      </c>
      <c r="F785" s="3">
        <v>1092.5899999999999</v>
      </c>
      <c r="G785" s="3">
        <f t="shared" si="12"/>
        <v>2185.1799999999998</v>
      </c>
    </row>
    <row r="786" spans="1:7" x14ac:dyDescent="0.2">
      <c r="A786" s="1" t="s">
        <v>320</v>
      </c>
      <c r="B786" s="2" t="s">
        <v>16</v>
      </c>
      <c r="C786" s="2" t="s">
        <v>9</v>
      </c>
      <c r="D786" s="2" t="s">
        <v>30</v>
      </c>
      <c r="E786">
        <v>6</v>
      </c>
      <c r="F786" s="3">
        <v>4827.96</v>
      </c>
      <c r="G786" s="3">
        <f t="shared" si="12"/>
        <v>28967.760000000002</v>
      </c>
    </row>
    <row r="787" spans="1:7" x14ac:dyDescent="0.2">
      <c r="A787" s="1" t="s">
        <v>321</v>
      </c>
      <c r="B787" s="2" t="s">
        <v>13</v>
      </c>
      <c r="C787" s="2" t="s">
        <v>9</v>
      </c>
      <c r="D787" s="2" t="s">
        <v>43</v>
      </c>
      <c r="E787">
        <v>8</v>
      </c>
      <c r="F787" s="3">
        <v>909.55</v>
      </c>
      <c r="G787" s="3">
        <f t="shared" si="12"/>
        <v>7276.4</v>
      </c>
    </row>
    <row r="788" spans="1:7" x14ac:dyDescent="0.2">
      <c r="A788" s="1" t="s">
        <v>322</v>
      </c>
      <c r="B788" s="2" t="s">
        <v>13</v>
      </c>
      <c r="C788" s="2" t="s">
        <v>11</v>
      </c>
      <c r="D788" s="2" t="s">
        <v>20</v>
      </c>
      <c r="E788">
        <v>1</v>
      </c>
      <c r="F788" s="3">
        <v>831.35</v>
      </c>
      <c r="G788" s="3">
        <f t="shared" si="12"/>
        <v>831.35</v>
      </c>
    </row>
    <row r="789" spans="1:7" x14ac:dyDescent="0.2">
      <c r="A789" s="1" t="s">
        <v>322</v>
      </c>
      <c r="B789" s="2" t="s">
        <v>19</v>
      </c>
      <c r="C789" s="2" t="s">
        <v>21</v>
      </c>
      <c r="D789" s="2" t="s">
        <v>22</v>
      </c>
      <c r="E789">
        <v>3</v>
      </c>
      <c r="F789" s="3">
        <v>715.26</v>
      </c>
      <c r="G789" s="3">
        <f t="shared" si="12"/>
        <v>2145.7799999999997</v>
      </c>
    </row>
    <row r="790" spans="1:7" x14ac:dyDescent="0.2">
      <c r="A790" s="1" t="s">
        <v>322</v>
      </c>
      <c r="B790" s="2" t="s">
        <v>16</v>
      </c>
      <c r="C790" s="2" t="s">
        <v>21</v>
      </c>
      <c r="D790" s="2" t="s">
        <v>27</v>
      </c>
      <c r="E790">
        <v>8</v>
      </c>
      <c r="F790" s="3">
        <v>1224.8699999999999</v>
      </c>
      <c r="G790" s="3">
        <f t="shared" si="12"/>
        <v>9798.9599999999991</v>
      </c>
    </row>
    <row r="791" spans="1:7" x14ac:dyDescent="0.2">
      <c r="A791" s="1" t="s">
        <v>323</v>
      </c>
      <c r="B791" s="2" t="s">
        <v>8</v>
      </c>
      <c r="C791" s="2" t="s">
        <v>21</v>
      </c>
      <c r="D791" s="2" t="s">
        <v>27</v>
      </c>
      <c r="E791">
        <v>9</v>
      </c>
      <c r="F791" s="3">
        <v>1713.08</v>
      </c>
      <c r="G791" s="3">
        <f t="shared" si="12"/>
        <v>15417.72</v>
      </c>
    </row>
    <row r="792" spans="1:7" x14ac:dyDescent="0.2">
      <c r="A792" s="1" t="s">
        <v>323</v>
      </c>
      <c r="B792" s="2" t="s">
        <v>16</v>
      </c>
      <c r="C792" s="2" t="s">
        <v>21</v>
      </c>
      <c r="D792" s="2" t="s">
        <v>37</v>
      </c>
      <c r="E792">
        <v>6</v>
      </c>
      <c r="F792" s="3">
        <v>2326.67</v>
      </c>
      <c r="G792" s="3">
        <f t="shared" si="12"/>
        <v>13960.02</v>
      </c>
    </row>
    <row r="793" spans="1:7" x14ac:dyDescent="0.2">
      <c r="A793" s="1" t="s">
        <v>323</v>
      </c>
      <c r="B793" s="2" t="s">
        <v>19</v>
      </c>
      <c r="C793" s="2" t="s">
        <v>9</v>
      </c>
      <c r="D793" s="2" t="s">
        <v>17</v>
      </c>
      <c r="E793">
        <v>3</v>
      </c>
      <c r="F793" s="3">
        <v>5994.13</v>
      </c>
      <c r="G793" s="3">
        <f t="shared" si="12"/>
        <v>17982.39</v>
      </c>
    </row>
    <row r="794" spans="1:7" x14ac:dyDescent="0.2">
      <c r="A794" s="1" t="s">
        <v>324</v>
      </c>
      <c r="B794" s="2" t="s">
        <v>19</v>
      </c>
      <c r="C794" s="2" t="s">
        <v>9</v>
      </c>
      <c r="D794" s="2" t="s">
        <v>43</v>
      </c>
      <c r="E794">
        <v>2</v>
      </c>
      <c r="F794" s="3">
        <v>951.8</v>
      </c>
      <c r="G794" s="3">
        <f t="shared" si="12"/>
        <v>1903.6</v>
      </c>
    </row>
    <row r="795" spans="1:7" x14ac:dyDescent="0.2">
      <c r="A795" s="1" t="s">
        <v>325</v>
      </c>
      <c r="B795" s="2" t="s">
        <v>19</v>
      </c>
      <c r="C795" s="2" t="s">
        <v>9</v>
      </c>
      <c r="D795" s="2" t="s">
        <v>41</v>
      </c>
      <c r="E795">
        <v>7</v>
      </c>
      <c r="F795" s="3">
        <v>1235.03</v>
      </c>
      <c r="G795" s="3">
        <f t="shared" si="12"/>
        <v>8645.2099999999991</v>
      </c>
    </row>
    <row r="796" spans="1:7" x14ac:dyDescent="0.2">
      <c r="A796" s="1" t="s">
        <v>325</v>
      </c>
      <c r="B796" s="2" t="s">
        <v>8</v>
      </c>
      <c r="C796" s="2" t="s">
        <v>25</v>
      </c>
      <c r="D796" s="2" t="s">
        <v>45</v>
      </c>
      <c r="E796">
        <v>8</v>
      </c>
      <c r="F796" s="3">
        <v>508.3</v>
      </c>
      <c r="G796" s="3">
        <f t="shared" si="12"/>
        <v>4066.4</v>
      </c>
    </row>
    <row r="797" spans="1:7" x14ac:dyDescent="0.2">
      <c r="A797" s="1" t="s">
        <v>325</v>
      </c>
      <c r="B797" s="2" t="s">
        <v>16</v>
      </c>
      <c r="C797" s="2" t="s">
        <v>21</v>
      </c>
      <c r="D797" s="2" t="s">
        <v>22</v>
      </c>
      <c r="E797">
        <v>2</v>
      </c>
      <c r="F797" s="3">
        <v>1390.82</v>
      </c>
      <c r="G797" s="3">
        <f t="shared" si="12"/>
        <v>2781.64</v>
      </c>
    </row>
    <row r="798" spans="1:7" x14ac:dyDescent="0.2">
      <c r="A798" s="1" t="s">
        <v>325</v>
      </c>
      <c r="B798" s="2" t="s">
        <v>13</v>
      </c>
      <c r="C798" s="2" t="s">
        <v>25</v>
      </c>
      <c r="D798" s="2" t="s">
        <v>26</v>
      </c>
      <c r="E798">
        <v>3</v>
      </c>
      <c r="F798" s="3">
        <v>1992.83</v>
      </c>
      <c r="G798" s="3">
        <f t="shared" si="12"/>
        <v>5978.49</v>
      </c>
    </row>
    <row r="799" spans="1:7" x14ac:dyDescent="0.2">
      <c r="A799" s="1" t="s">
        <v>325</v>
      </c>
      <c r="B799" s="2" t="s">
        <v>16</v>
      </c>
      <c r="C799" s="2" t="s">
        <v>25</v>
      </c>
      <c r="D799" s="2" t="s">
        <v>50</v>
      </c>
      <c r="E799">
        <v>6</v>
      </c>
      <c r="F799" s="3">
        <v>2508.8200000000002</v>
      </c>
      <c r="G799" s="3">
        <f t="shared" si="12"/>
        <v>15052.920000000002</v>
      </c>
    </row>
    <row r="800" spans="1:7" x14ac:dyDescent="0.2">
      <c r="A800" s="1" t="s">
        <v>326</v>
      </c>
      <c r="B800" s="2" t="s">
        <v>16</v>
      </c>
      <c r="C800" s="2" t="s">
        <v>21</v>
      </c>
      <c r="D800" s="2" t="s">
        <v>37</v>
      </c>
      <c r="E800">
        <v>6</v>
      </c>
      <c r="F800" s="3">
        <v>2112.5</v>
      </c>
      <c r="G800" s="3">
        <f t="shared" si="12"/>
        <v>12675</v>
      </c>
    </row>
    <row r="801" spans="1:7" x14ac:dyDescent="0.2">
      <c r="A801" s="1" t="s">
        <v>326</v>
      </c>
      <c r="B801" s="2" t="s">
        <v>13</v>
      </c>
      <c r="C801" s="2" t="s">
        <v>25</v>
      </c>
      <c r="D801" s="2" t="s">
        <v>45</v>
      </c>
      <c r="E801">
        <v>2</v>
      </c>
      <c r="F801" s="3">
        <v>780.58</v>
      </c>
      <c r="G801" s="3">
        <f t="shared" si="12"/>
        <v>1561.16</v>
      </c>
    </row>
    <row r="802" spans="1:7" x14ac:dyDescent="0.2">
      <c r="A802" s="1" t="s">
        <v>326</v>
      </c>
      <c r="B802" s="2" t="s">
        <v>19</v>
      </c>
      <c r="C802" s="2" t="s">
        <v>9</v>
      </c>
      <c r="D802" s="2" t="s">
        <v>10</v>
      </c>
      <c r="E802">
        <v>3</v>
      </c>
      <c r="F802" s="3">
        <v>878.68</v>
      </c>
      <c r="G802" s="3">
        <f t="shared" si="12"/>
        <v>2636.04</v>
      </c>
    </row>
    <row r="803" spans="1:7" x14ac:dyDescent="0.2">
      <c r="A803" s="1" t="s">
        <v>326</v>
      </c>
      <c r="B803" s="2" t="s">
        <v>13</v>
      </c>
      <c r="C803" s="2" t="s">
        <v>9</v>
      </c>
      <c r="D803" s="2" t="s">
        <v>10</v>
      </c>
      <c r="E803">
        <v>4</v>
      </c>
      <c r="F803" s="3">
        <v>802.35</v>
      </c>
      <c r="G803" s="3">
        <f t="shared" si="12"/>
        <v>3209.4</v>
      </c>
    </row>
    <row r="804" spans="1:7" x14ac:dyDescent="0.2">
      <c r="A804" s="1" t="s">
        <v>327</v>
      </c>
      <c r="B804" s="2" t="s">
        <v>16</v>
      </c>
      <c r="C804" s="2" t="s">
        <v>25</v>
      </c>
      <c r="D804" s="2" t="s">
        <v>50</v>
      </c>
      <c r="E804">
        <v>8</v>
      </c>
      <c r="F804" s="3">
        <v>1854.69</v>
      </c>
      <c r="G804" s="3">
        <f t="shared" si="12"/>
        <v>14837.52</v>
      </c>
    </row>
    <row r="805" spans="1:7" x14ac:dyDescent="0.2">
      <c r="A805" s="1" t="s">
        <v>327</v>
      </c>
      <c r="B805" s="2" t="s">
        <v>8</v>
      </c>
      <c r="C805" s="2" t="s">
        <v>25</v>
      </c>
      <c r="D805" s="2" t="s">
        <v>45</v>
      </c>
      <c r="E805">
        <v>7</v>
      </c>
      <c r="F805" s="3">
        <v>618.49</v>
      </c>
      <c r="G805" s="3">
        <f t="shared" si="12"/>
        <v>4329.43</v>
      </c>
    </row>
    <row r="806" spans="1:7" x14ac:dyDescent="0.2">
      <c r="A806" s="1" t="s">
        <v>327</v>
      </c>
      <c r="B806" s="2" t="s">
        <v>8</v>
      </c>
      <c r="C806" s="2" t="s">
        <v>9</v>
      </c>
      <c r="D806" s="2" t="s">
        <v>41</v>
      </c>
      <c r="E806">
        <v>2</v>
      </c>
      <c r="F806" s="3">
        <v>1261.29</v>
      </c>
      <c r="G806" s="3">
        <f t="shared" si="12"/>
        <v>2522.58</v>
      </c>
    </row>
    <row r="807" spans="1:7" x14ac:dyDescent="0.2">
      <c r="A807" s="1" t="s">
        <v>328</v>
      </c>
      <c r="B807" s="2" t="s">
        <v>8</v>
      </c>
      <c r="C807" s="2" t="s">
        <v>25</v>
      </c>
      <c r="D807" s="2" t="s">
        <v>50</v>
      </c>
      <c r="E807">
        <v>5</v>
      </c>
      <c r="F807" s="3">
        <v>2468.4899999999998</v>
      </c>
      <c r="G807" s="3">
        <f t="shared" si="12"/>
        <v>12342.449999999999</v>
      </c>
    </row>
    <row r="808" spans="1:7" x14ac:dyDescent="0.2">
      <c r="A808" s="1" t="s">
        <v>328</v>
      </c>
      <c r="B808" s="2" t="s">
        <v>13</v>
      </c>
      <c r="C808" s="2" t="s">
        <v>25</v>
      </c>
      <c r="D808" s="2" t="s">
        <v>64</v>
      </c>
      <c r="E808">
        <v>7</v>
      </c>
      <c r="F808" s="3">
        <v>1067.43</v>
      </c>
      <c r="G808" s="3">
        <f t="shared" si="12"/>
        <v>7472.01</v>
      </c>
    </row>
    <row r="809" spans="1:7" x14ac:dyDescent="0.2">
      <c r="A809" s="1" t="s">
        <v>329</v>
      </c>
      <c r="B809" s="2" t="s">
        <v>19</v>
      </c>
      <c r="C809" s="2" t="s">
        <v>21</v>
      </c>
      <c r="D809" s="2" t="s">
        <v>37</v>
      </c>
      <c r="E809">
        <v>5</v>
      </c>
      <c r="F809" s="3">
        <v>2549.21</v>
      </c>
      <c r="G809" s="3">
        <f t="shared" si="12"/>
        <v>12746.05</v>
      </c>
    </row>
    <row r="810" spans="1:7" x14ac:dyDescent="0.2">
      <c r="A810" s="1" t="s">
        <v>329</v>
      </c>
      <c r="B810" s="2" t="s">
        <v>8</v>
      </c>
      <c r="C810" s="2" t="s">
        <v>11</v>
      </c>
      <c r="D810" s="2" t="s">
        <v>20</v>
      </c>
      <c r="E810">
        <v>8</v>
      </c>
      <c r="F810" s="3">
        <v>616.6</v>
      </c>
      <c r="G810" s="3">
        <f t="shared" si="12"/>
        <v>4932.8</v>
      </c>
    </row>
    <row r="811" spans="1:7" x14ac:dyDescent="0.2">
      <c r="A811" s="1" t="s">
        <v>329</v>
      </c>
      <c r="B811" s="2" t="s">
        <v>19</v>
      </c>
      <c r="C811" s="2" t="s">
        <v>25</v>
      </c>
      <c r="D811" s="2" t="s">
        <v>36</v>
      </c>
      <c r="E811">
        <v>2</v>
      </c>
      <c r="F811" s="3">
        <v>489.89</v>
      </c>
      <c r="G811" s="3">
        <f t="shared" si="12"/>
        <v>979.78</v>
      </c>
    </row>
    <row r="812" spans="1:7" x14ac:dyDescent="0.2">
      <c r="A812" s="1" t="s">
        <v>330</v>
      </c>
      <c r="B812" s="2" t="s">
        <v>13</v>
      </c>
      <c r="C812" s="2" t="s">
        <v>11</v>
      </c>
      <c r="D812" s="2" t="s">
        <v>14</v>
      </c>
      <c r="E812">
        <v>1</v>
      </c>
      <c r="F812" s="3">
        <v>1679.22</v>
      </c>
      <c r="G812" s="3">
        <f t="shared" si="12"/>
        <v>1679.22</v>
      </c>
    </row>
    <row r="813" spans="1:7" x14ac:dyDescent="0.2">
      <c r="A813" s="1" t="s">
        <v>331</v>
      </c>
      <c r="B813" s="2" t="s">
        <v>13</v>
      </c>
      <c r="C813" s="2" t="s">
        <v>21</v>
      </c>
      <c r="D813" s="2" t="s">
        <v>37</v>
      </c>
      <c r="E813">
        <v>10</v>
      </c>
      <c r="F813" s="3">
        <v>2573.7800000000002</v>
      </c>
      <c r="G813" s="3">
        <f t="shared" si="12"/>
        <v>25737.800000000003</v>
      </c>
    </row>
    <row r="814" spans="1:7" x14ac:dyDescent="0.2">
      <c r="A814" s="1" t="s">
        <v>331</v>
      </c>
      <c r="B814" s="2" t="s">
        <v>19</v>
      </c>
      <c r="C814" s="2" t="s">
        <v>11</v>
      </c>
      <c r="D814" s="2" t="s">
        <v>48</v>
      </c>
      <c r="E814">
        <v>7</v>
      </c>
      <c r="F814" s="3">
        <v>3220.71</v>
      </c>
      <c r="G814" s="3">
        <f t="shared" si="12"/>
        <v>22544.97</v>
      </c>
    </row>
    <row r="815" spans="1:7" x14ac:dyDescent="0.2">
      <c r="A815" s="1" t="s">
        <v>332</v>
      </c>
      <c r="B815" s="2" t="s">
        <v>8</v>
      </c>
      <c r="C815" s="2" t="s">
        <v>25</v>
      </c>
      <c r="D815" s="2" t="s">
        <v>26</v>
      </c>
      <c r="E815">
        <v>8</v>
      </c>
      <c r="F815" s="3">
        <v>1725.22</v>
      </c>
      <c r="G815" s="3">
        <f t="shared" si="12"/>
        <v>13801.76</v>
      </c>
    </row>
    <row r="816" spans="1:7" x14ac:dyDescent="0.2">
      <c r="A816" s="1" t="s">
        <v>332</v>
      </c>
      <c r="B816" s="2" t="s">
        <v>13</v>
      </c>
      <c r="C816" s="2" t="s">
        <v>11</v>
      </c>
      <c r="D816" s="2" t="s">
        <v>12</v>
      </c>
      <c r="E816">
        <v>6</v>
      </c>
      <c r="F816" s="3">
        <v>2203.48</v>
      </c>
      <c r="G816" s="3">
        <f t="shared" si="12"/>
        <v>13220.880000000001</v>
      </c>
    </row>
    <row r="817" spans="1:7" x14ac:dyDescent="0.2">
      <c r="A817" s="1" t="s">
        <v>333</v>
      </c>
      <c r="B817" s="2" t="s">
        <v>19</v>
      </c>
      <c r="C817" s="2" t="s">
        <v>21</v>
      </c>
      <c r="D817" s="2" t="s">
        <v>27</v>
      </c>
      <c r="E817">
        <v>6</v>
      </c>
      <c r="F817" s="3">
        <v>929.44</v>
      </c>
      <c r="G817" s="3">
        <f t="shared" si="12"/>
        <v>5576.64</v>
      </c>
    </row>
    <row r="818" spans="1:7" x14ac:dyDescent="0.2">
      <c r="A818" s="1" t="s">
        <v>333</v>
      </c>
      <c r="B818" s="2" t="s">
        <v>16</v>
      </c>
      <c r="C818" s="2" t="s">
        <v>21</v>
      </c>
      <c r="D818" s="2" t="s">
        <v>28</v>
      </c>
      <c r="E818">
        <v>13</v>
      </c>
      <c r="F818" s="3">
        <v>4355.8100000000004</v>
      </c>
      <c r="G818" s="3">
        <f t="shared" si="12"/>
        <v>56625.530000000006</v>
      </c>
    </row>
    <row r="819" spans="1:7" x14ac:dyDescent="0.2">
      <c r="A819" s="1" t="s">
        <v>333</v>
      </c>
      <c r="B819" s="2" t="s">
        <v>16</v>
      </c>
      <c r="C819" s="2" t="s">
        <v>9</v>
      </c>
      <c r="D819" s="2" t="s">
        <v>10</v>
      </c>
      <c r="E819">
        <v>8</v>
      </c>
      <c r="F819" s="3">
        <v>883.25</v>
      </c>
      <c r="G819" s="3">
        <f t="shared" si="12"/>
        <v>7066</v>
      </c>
    </row>
    <row r="820" spans="1:7" x14ac:dyDescent="0.2">
      <c r="A820" s="1" t="s">
        <v>333</v>
      </c>
      <c r="B820" s="2" t="s">
        <v>8</v>
      </c>
      <c r="C820" s="2" t="s">
        <v>21</v>
      </c>
      <c r="D820" s="2" t="s">
        <v>28</v>
      </c>
      <c r="E820">
        <v>9</v>
      </c>
      <c r="F820" s="3">
        <v>5618.69</v>
      </c>
      <c r="G820" s="3">
        <f t="shared" si="12"/>
        <v>50568.21</v>
      </c>
    </row>
    <row r="821" spans="1:7" x14ac:dyDescent="0.2">
      <c r="A821" s="1" t="s">
        <v>333</v>
      </c>
      <c r="B821" s="2" t="s">
        <v>8</v>
      </c>
      <c r="C821" s="2" t="s">
        <v>21</v>
      </c>
      <c r="D821" s="2" t="s">
        <v>58</v>
      </c>
      <c r="E821">
        <v>10</v>
      </c>
      <c r="F821" s="3">
        <v>2185.9499999999998</v>
      </c>
      <c r="G821" s="3">
        <f t="shared" si="12"/>
        <v>21859.5</v>
      </c>
    </row>
    <row r="822" spans="1:7" x14ac:dyDescent="0.2">
      <c r="A822" s="1" t="s">
        <v>333</v>
      </c>
      <c r="B822" s="2" t="s">
        <v>13</v>
      </c>
      <c r="C822" s="2" t="s">
        <v>21</v>
      </c>
      <c r="D822" s="2" t="s">
        <v>37</v>
      </c>
      <c r="E822">
        <v>8</v>
      </c>
      <c r="F822" s="3">
        <v>2728.17</v>
      </c>
      <c r="G822" s="3">
        <f t="shared" si="12"/>
        <v>21825.360000000001</v>
      </c>
    </row>
    <row r="823" spans="1:7" x14ac:dyDescent="0.2">
      <c r="A823" s="1" t="s">
        <v>334</v>
      </c>
      <c r="B823" s="2" t="s">
        <v>8</v>
      </c>
      <c r="C823" s="2" t="s">
        <v>9</v>
      </c>
      <c r="D823" s="2" t="s">
        <v>41</v>
      </c>
      <c r="E823">
        <v>6</v>
      </c>
      <c r="F823" s="3">
        <v>2490.15</v>
      </c>
      <c r="G823" s="3">
        <f t="shared" si="12"/>
        <v>14940.900000000001</v>
      </c>
    </row>
    <row r="824" spans="1:7" x14ac:dyDescent="0.2">
      <c r="A824" s="1" t="s">
        <v>334</v>
      </c>
      <c r="B824" s="2" t="s">
        <v>19</v>
      </c>
      <c r="C824" s="2" t="s">
        <v>11</v>
      </c>
      <c r="D824" s="2" t="s">
        <v>14</v>
      </c>
      <c r="E824">
        <v>1</v>
      </c>
      <c r="F824" s="3">
        <v>1587.64</v>
      </c>
      <c r="G824" s="3">
        <f t="shared" si="12"/>
        <v>1587.64</v>
      </c>
    </row>
    <row r="825" spans="1:7" x14ac:dyDescent="0.2">
      <c r="A825" s="1" t="s">
        <v>335</v>
      </c>
      <c r="B825" s="2" t="s">
        <v>16</v>
      </c>
      <c r="C825" s="2" t="s">
        <v>11</v>
      </c>
      <c r="D825" s="2" t="s">
        <v>31</v>
      </c>
      <c r="E825">
        <v>1</v>
      </c>
      <c r="F825" s="3">
        <v>458.13</v>
      </c>
      <c r="G825" s="3">
        <f t="shared" si="12"/>
        <v>458.13</v>
      </c>
    </row>
    <row r="826" spans="1:7" x14ac:dyDescent="0.2">
      <c r="A826" s="1" t="s">
        <v>335</v>
      </c>
      <c r="B826" s="2" t="s">
        <v>13</v>
      </c>
      <c r="C826" s="2" t="s">
        <v>11</v>
      </c>
      <c r="D826" s="2" t="s">
        <v>31</v>
      </c>
      <c r="E826">
        <v>7</v>
      </c>
      <c r="F826" s="3">
        <v>541.69000000000005</v>
      </c>
      <c r="G826" s="3">
        <f t="shared" si="12"/>
        <v>3791.8300000000004</v>
      </c>
    </row>
    <row r="827" spans="1:7" x14ac:dyDescent="0.2">
      <c r="A827" s="1" t="s">
        <v>335</v>
      </c>
      <c r="B827" s="2" t="s">
        <v>8</v>
      </c>
      <c r="C827" s="2" t="s">
        <v>9</v>
      </c>
      <c r="D827" s="2" t="s">
        <v>41</v>
      </c>
      <c r="E827">
        <v>8</v>
      </c>
      <c r="F827" s="3">
        <v>1523.64</v>
      </c>
      <c r="G827" s="3">
        <f t="shared" si="12"/>
        <v>12189.12</v>
      </c>
    </row>
    <row r="828" spans="1:7" x14ac:dyDescent="0.2">
      <c r="A828" s="1" t="s">
        <v>336</v>
      </c>
      <c r="B828" s="2" t="s">
        <v>13</v>
      </c>
      <c r="C828" s="2" t="s">
        <v>9</v>
      </c>
      <c r="D828" s="2" t="s">
        <v>41</v>
      </c>
      <c r="E828">
        <v>6</v>
      </c>
      <c r="F828" s="3">
        <v>1217.71</v>
      </c>
      <c r="G828" s="3">
        <f t="shared" si="12"/>
        <v>7306.26</v>
      </c>
    </row>
    <row r="829" spans="1:7" x14ac:dyDescent="0.2">
      <c r="A829" s="1" t="s">
        <v>336</v>
      </c>
      <c r="B829" s="2" t="s">
        <v>16</v>
      </c>
      <c r="C829" s="2" t="s">
        <v>25</v>
      </c>
      <c r="D829" s="2" t="s">
        <v>64</v>
      </c>
      <c r="E829">
        <v>1</v>
      </c>
      <c r="F829" s="3">
        <v>916.6</v>
      </c>
      <c r="G829" s="3">
        <f t="shared" si="12"/>
        <v>916.6</v>
      </c>
    </row>
    <row r="830" spans="1:7" x14ac:dyDescent="0.2">
      <c r="A830" s="1" t="s">
        <v>336</v>
      </c>
      <c r="B830" s="2" t="s">
        <v>8</v>
      </c>
      <c r="C830" s="2" t="s">
        <v>21</v>
      </c>
      <c r="D830" s="2" t="s">
        <v>22</v>
      </c>
      <c r="E830">
        <v>5</v>
      </c>
      <c r="F830" s="3">
        <v>993.18</v>
      </c>
      <c r="G830" s="3">
        <f t="shared" si="12"/>
        <v>4965.8999999999996</v>
      </c>
    </row>
    <row r="831" spans="1:7" x14ac:dyDescent="0.2">
      <c r="A831" s="1" t="s">
        <v>337</v>
      </c>
      <c r="B831" s="2" t="s">
        <v>13</v>
      </c>
      <c r="C831" s="2" t="s">
        <v>21</v>
      </c>
      <c r="D831" s="2" t="s">
        <v>58</v>
      </c>
      <c r="E831">
        <v>10</v>
      </c>
      <c r="F831" s="3">
        <v>1721.89</v>
      </c>
      <c r="G831" s="3">
        <f t="shared" si="12"/>
        <v>17218.900000000001</v>
      </c>
    </row>
    <row r="832" spans="1:7" x14ac:dyDescent="0.2">
      <c r="A832" s="1" t="s">
        <v>337</v>
      </c>
      <c r="B832" s="2" t="s">
        <v>8</v>
      </c>
      <c r="C832" s="2" t="s">
        <v>25</v>
      </c>
      <c r="D832" s="2" t="s">
        <v>64</v>
      </c>
      <c r="E832">
        <v>6</v>
      </c>
      <c r="F832" s="3">
        <v>990.34</v>
      </c>
      <c r="G832" s="3">
        <f t="shared" si="12"/>
        <v>5942.04</v>
      </c>
    </row>
    <row r="833" spans="1:7" x14ac:dyDescent="0.2">
      <c r="A833" s="1" t="s">
        <v>337</v>
      </c>
      <c r="B833" s="2" t="s">
        <v>8</v>
      </c>
      <c r="C833" s="2" t="s">
        <v>25</v>
      </c>
      <c r="D833" s="2" t="s">
        <v>64</v>
      </c>
      <c r="E833">
        <v>1</v>
      </c>
      <c r="F833" s="3">
        <v>1463.21</v>
      </c>
      <c r="G833" s="3">
        <f t="shared" si="12"/>
        <v>1463.21</v>
      </c>
    </row>
    <row r="834" spans="1:7" x14ac:dyDescent="0.2">
      <c r="A834" s="1" t="s">
        <v>338</v>
      </c>
      <c r="B834" s="2" t="s">
        <v>16</v>
      </c>
      <c r="C834" s="2" t="s">
        <v>9</v>
      </c>
      <c r="D834" s="2" t="s">
        <v>10</v>
      </c>
      <c r="E834">
        <v>8</v>
      </c>
      <c r="F834" s="3">
        <v>433.57</v>
      </c>
      <c r="G834" s="3">
        <f t="shared" ref="G834:G897" si="13">E834*F834</f>
        <v>3468.56</v>
      </c>
    </row>
    <row r="835" spans="1:7" x14ac:dyDescent="0.2">
      <c r="A835" s="1" t="s">
        <v>339</v>
      </c>
      <c r="B835" s="2" t="s">
        <v>16</v>
      </c>
      <c r="C835" s="2" t="s">
        <v>21</v>
      </c>
      <c r="D835" s="2" t="s">
        <v>22</v>
      </c>
      <c r="E835">
        <v>13</v>
      </c>
      <c r="F835" s="3">
        <v>1189.6300000000001</v>
      </c>
      <c r="G835" s="3">
        <f t="shared" si="13"/>
        <v>15465.190000000002</v>
      </c>
    </row>
    <row r="836" spans="1:7" x14ac:dyDescent="0.2">
      <c r="A836" s="1" t="s">
        <v>339</v>
      </c>
      <c r="B836" s="2" t="s">
        <v>13</v>
      </c>
      <c r="C836" s="2" t="s">
        <v>9</v>
      </c>
      <c r="D836" s="2" t="s">
        <v>41</v>
      </c>
      <c r="E836">
        <v>1</v>
      </c>
      <c r="F836" s="3">
        <v>1810.71</v>
      </c>
      <c r="G836" s="3">
        <f t="shared" si="13"/>
        <v>1810.71</v>
      </c>
    </row>
    <row r="837" spans="1:7" x14ac:dyDescent="0.2">
      <c r="A837" s="1" t="s">
        <v>339</v>
      </c>
      <c r="B837" s="2" t="s">
        <v>19</v>
      </c>
      <c r="C837" s="2" t="s">
        <v>21</v>
      </c>
      <c r="D837" s="2" t="s">
        <v>27</v>
      </c>
      <c r="E837">
        <v>1</v>
      </c>
      <c r="F837" s="3">
        <v>1129.9100000000001</v>
      </c>
      <c r="G837" s="3">
        <f t="shared" si="13"/>
        <v>1129.9100000000001</v>
      </c>
    </row>
    <row r="838" spans="1:7" x14ac:dyDescent="0.2">
      <c r="A838" s="1" t="s">
        <v>340</v>
      </c>
      <c r="B838" s="2" t="s">
        <v>13</v>
      </c>
      <c r="C838" s="2" t="s">
        <v>21</v>
      </c>
      <c r="D838" s="2" t="s">
        <v>27</v>
      </c>
      <c r="E838">
        <v>2</v>
      </c>
      <c r="F838" s="3">
        <v>1226.3399999999999</v>
      </c>
      <c r="G838" s="3">
        <f t="shared" si="13"/>
        <v>2452.6799999999998</v>
      </c>
    </row>
    <row r="839" spans="1:7" x14ac:dyDescent="0.2">
      <c r="A839" s="1" t="s">
        <v>340</v>
      </c>
      <c r="B839" s="2" t="s">
        <v>16</v>
      </c>
      <c r="C839" s="2" t="s">
        <v>25</v>
      </c>
      <c r="D839" s="2" t="s">
        <v>64</v>
      </c>
      <c r="E839">
        <v>6</v>
      </c>
      <c r="F839" s="3">
        <v>1237.27</v>
      </c>
      <c r="G839" s="3">
        <f t="shared" si="13"/>
        <v>7423.62</v>
      </c>
    </row>
    <row r="840" spans="1:7" x14ac:dyDescent="0.2">
      <c r="A840" s="1" t="s">
        <v>341</v>
      </c>
      <c r="B840" s="2" t="s">
        <v>13</v>
      </c>
      <c r="C840" s="2" t="s">
        <v>9</v>
      </c>
      <c r="D840" s="2" t="s">
        <v>41</v>
      </c>
      <c r="E840">
        <v>1</v>
      </c>
      <c r="F840" s="3">
        <v>2244.13</v>
      </c>
      <c r="G840" s="3">
        <f t="shared" si="13"/>
        <v>2244.13</v>
      </c>
    </row>
    <row r="841" spans="1:7" x14ac:dyDescent="0.2">
      <c r="A841" s="1" t="s">
        <v>341</v>
      </c>
      <c r="B841" s="2" t="s">
        <v>16</v>
      </c>
      <c r="C841" s="2" t="s">
        <v>25</v>
      </c>
      <c r="D841" s="2" t="s">
        <v>45</v>
      </c>
      <c r="E841">
        <v>2</v>
      </c>
      <c r="F841" s="3">
        <v>655.46</v>
      </c>
      <c r="G841" s="3">
        <f t="shared" si="13"/>
        <v>1310.92</v>
      </c>
    </row>
    <row r="842" spans="1:7" x14ac:dyDescent="0.2">
      <c r="A842" s="1" t="s">
        <v>342</v>
      </c>
      <c r="B842" s="2" t="s">
        <v>16</v>
      </c>
      <c r="C842" s="2" t="s">
        <v>21</v>
      </c>
      <c r="D842" s="2" t="s">
        <v>28</v>
      </c>
      <c r="E842">
        <v>2</v>
      </c>
      <c r="F842" s="3">
        <v>2676.15</v>
      </c>
      <c r="G842" s="3">
        <f t="shared" si="13"/>
        <v>5352.3</v>
      </c>
    </row>
    <row r="843" spans="1:7" x14ac:dyDescent="0.2">
      <c r="A843" s="1" t="s">
        <v>342</v>
      </c>
      <c r="B843" s="2" t="s">
        <v>13</v>
      </c>
      <c r="C843" s="2" t="s">
        <v>11</v>
      </c>
      <c r="D843" s="2" t="s">
        <v>48</v>
      </c>
      <c r="E843">
        <v>7</v>
      </c>
      <c r="F843" s="3">
        <v>3185.87</v>
      </c>
      <c r="G843" s="3">
        <f t="shared" si="13"/>
        <v>22301.09</v>
      </c>
    </row>
    <row r="844" spans="1:7" x14ac:dyDescent="0.2">
      <c r="A844" s="1" t="s">
        <v>343</v>
      </c>
      <c r="B844" s="2" t="s">
        <v>8</v>
      </c>
      <c r="C844" s="2" t="s">
        <v>25</v>
      </c>
      <c r="D844" s="2" t="s">
        <v>45</v>
      </c>
      <c r="E844">
        <v>6</v>
      </c>
      <c r="F844" s="3">
        <v>939.47</v>
      </c>
      <c r="G844" s="3">
        <f t="shared" si="13"/>
        <v>5636.82</v>
      </c>
    </row>
    <row r="845" spans="1:7" x14ac:dyDescent="0.2">
      <c r="A845" s="1" t="s">
        <v>343</v>
      </c>
      <c r="B845" s="2" t="s">
        <v>19</v>
      </c>
      <c r="C845" s="2" t="s">
        <v>9</v>
      </c>
      <c r="D845" s="2" t="s">
        <v>30</v>
      </c>
      <c r="E845">
        <v>2</v>
      </c>
      <c r="F845" s="3">
        <v>8330.61</v>
      </c>
      <c r="G845" s="3">
        <f t="shared" si="13"/>
        <v>16661.22</v>
      </c>
    </row>
    <row r="846" spans="1:7" x14ac:dyDescent="0.2">
      <c r="A846" s="1" t="s">
        <v>344</v>
      </c>
      <c r="B846" s="2" t="s">
        <v>8</v>
      </c>
      <c r="C846" s="2" t="s">
        <v>11</v>
      </c>
      <c r="D846" s="2" t="s">
        <v>31</v>
      </c>
      <c r="E846">
        <v>13</v>
      </c>
      <c r="F846" s="3">
        <v>362.18</v>
      </c>
      <c r="G846" s="3">
        <f t="shared" si="13"/>
        <v>4708.34</v>
      </c>
    </row>
    <row r="847" spans="1:7" x14ac:dyDescent="0.2">
      <c r="A847" s="1" t="s">
        <v>344</v>
      </c>
      <c r="B847" s="2" t="s">
        <v>13</v>
      </c>
      <c r="C847" s="2" t="s">
        <v>25</v>
      </c>
      <c r="D847" s="2" t="s">
        <v>26</v>
      </c>
      <c r="E847">
        <v>2</v>
      </c>
      <c r="F847" s="3">
        <v>1646.1</v>
      </c>
      <c r="G847" s="3">
        <f t="shared" si="13"/>
        <v>3292.2</v>
      </c>
    </row>
    <row r="848" spans="1:7" x14ac:dyDescent="0.2">
      <c r="A848" s="1" t="s">
        <v>344</v>
      </c>
      <c r="B848" s="2" t="s">
        <v>19</v>
      </c>
      <c r="C848" s="2" t="s">
        <v>25</v>
      </c>
      <c r="D848" s="2" t="s">
        <v>50</v>
      </c>
      <c r="E848">
        <v>5</v>
      </c>
      <c r="F848" s="3">
        <v>2294.77</v>
      </c>
      <c r="G848" s="3">
        <f t="shared" si="13"/>
        <v>11473.85</v>
      </c>
    </row>
    <row r="849" spans="1:7" x14ac:dyDescent="0.2">
      <c r="A849" s="1" t="s">
        <v>344</v>
      </c>
      <c r="B849" s="2" t="s">
        <v>13</v>
      </c>
      <c r="C849" s="2" t="s">
        <v>11</v>
      </c>
      <c r="D849" s="2" t="s">
        <v>14</v>
      </c>
      <c r="E849">
        <v>3</v>
      </c>
      <c r="F849" s="3">
        <v>1289.56</v>
      </c>
      <c r="G849" s="3">
        <f t="shared" si="13"/>
        <v>3868.68</v>
      </c>
    </row>
    <row r="850" spans="1:7" x14ac:dyDescent="0.2">
      <c r="A850" s="1" t="s">
        <v>344</v>
      </c>
      <c r="B850" s="2" t="s">
        <v>19</v>
      </c>
      <c r="C850" s="2" t="s">
        <v>11</v>
      </c>
      <c r="D850" s="2" t="s">
        <v>48</v>
      </c>
      <c r="E850">
        <v>4</v>
      </c>
      <c r="F850" s="3">
        <v>3758.75</v>
      </c>
      <c r="G850" s="3">
        <f t="shared" si="13"/>
        <v>15035</v>
      </c>
    </row>
    <row r="851" spans="1:7" x14ac:dyDescent="0.2">
      <c r="A851" s="1" t="s">
        <v>345</v>
      </c>
      <c r="B851" s="2" t="s">
        <v>13</v>
      </c>
      <c r="C851" s="2" t="s">
        <v>21</v>
      </c>
      <c r="D851" s="2" t="s">
        <v>22</v>
      </c>
      <c r="E851">
        <v>9</v>
      </c>
      <c r="F851" s="3">
        <v>754.67</v>
      </c>
      <c r="G851" s="3">
        <f t="shared" si="13"/>
        <v>6792.03</v>
      </c>
    </row>
    <row r="852" spans="1:7" x14ac:dyDescent="0.2">
      <c r="A852" s="1" t="s">
        <v>346</v>
      </c>
      <c r="B852" s="2" t="s">
        <v>16</v>
      </c>
      <c r="C852" s="2" t="s">
        <v>11</v>
      </c>
      <c r="D852" s="2" t="s">
        <v>12</v>
      </c>
      <c r="E852">
        <v>3</v>
      </c>
      <c r="F852" s="3">
        <v>1528.37</v>
      </c>
      <c r="G852" s="3">
        <f t="shared" si="13"/>
        <v>4585.1099999999997</v>
      </c>
    </row>
    <row r="853" spans="1:7" x14ac:dyDescent="0.2">
      <c r="A853" s="1" t="s">
        <v>346</v>
      </c>
      <c r="B853" s="2" t="s">
        <v>16</v>
      </c>
      <c r="C853" s="2" t="s">
        <v>25</v>
      </c>
      <c r="D853" s="2" t="s">
        <v>50</v>
      </c>
      <c r="E853">
        <v>3</v>
      </c>
      <c r="F853" s="3">
        <v>2584.34</v>
      </c>
      <c r="G853" s="3">
        <f t="shared" si="13"/>
        <v>7753.02</v>
      </c>
    </row>
    <row r="854" spans="1:7" x14ac:dyDescent="0.2">
      <c r="A854" s="1" t="s">
        <v>346</v>
      </c>
      <c r="B854" s="2" t="s">
        <v>16</v>
      </c>
      <c r="C854" s="2" t="s">
        <v>9</v>
      </c>
      <c r="D854" s="2" t="s">
        <v>43</v>
      </c>
      <c r="E854">
        <v>5</v>
      </c>
      <c r="F854" s="3">
        <v>742.8</v>
      </c>
      <c r="G854" s="3">
        <f t="shared" si="13"/>
        <v>3714</v>
      </c>
    </row>
    <row r="855" spans="1:7" x14ac:dyDescent="0.2">
      <c r="A855" s="1" t="s">
        <v>346</v>
      </c>
      <c r="B855" s="2" t="s">
        <v>16</v>
      </c>
      <c r="C855" s="2" t="s">
        <v>9</v>
      </c>
      <c r="D855" s="2" t="s">
        <v>30</v>
      </c>
      <c r="E855">
        <v>2</v>
      </c>
      <c r="F855" s="3">
        <v>6236.44</v>
      </c>
      <c r="G855" s="3">
        <f t="shared" si="13"/>
        <v>12472.88</v>
      </c>
    </row>
    <row r="856" spans="1:7" x14ac:dyDescent="0.2">
      <c r="A856" s="1" t="s">
        <v>346</v>
      </c>
      <c r="B856" s="2" t="s">
        <v>19</v>
      </c>
      <c r="C856" s="2" t="s">
        <v>11</v>
      </c>
      <c r="D856" s="2" t="s">
        <v>12</v>
      </c>
      <c r="E856">
        <v>5</v>
      </c>
      <c r="F856" s="3">
        <v>2750.23</v>
      </c>
      <c r="G856" s="3">
        <f t="shared" si="13"/>
        <v>13751.15</v>
      </c>
    </row>
    <row r="857" spans="1:7" x14ac:dyDescent="0.2">
      <c r="A857" s="1" t="s">
        <v>346</v>
      </c>
      <c r="B857" s="2" t="s">
        <v>8</v>
      </c>
      <c r="C857" s="2" t="s">
        <v>25</v>
      </c>
      <c r="D857" s="2" t="s">
        <v>64</v>
      </c>
      <c r="E857">
        <v>6</v>
      </c>
      <c r="F857" s="3">
        <v>990.34</v>
      </c>
      <c r="G857" s="3">
        <f t="shared" si="13"/>
        <v>5942.04</v>
      </c>
    </row>
    <row r="858" spans="1:7" x14ac:dyDescent="0.2">
      <c r="A858" s="1" t="s">
        <v>347</v>
      </c>
      <c r="B858" s="2" t="s">
        <v>16</v>
      </c>
      <c r="C858" s="2" t="s">
        <v>9</v>
      </c>
      <c r="D858" s="2" t="s">
        <v>43</v>
      </c>
      <c r="E858">
        <v>7</v>
      </c>
      <c r="F858" s="3">
        <v>1284.8399999999999</v>
      </c>
      <c r="G858" s="3">
        <f t="shared" si="13"/>
        <v>8993.8799999999992</v>
      </c>
    </row>
    <row r="859" spans="1:7" x14ac:dyDescent="0.2">
      <c r="A859" s="1" t="s">
        <v>347</v>
      </c>
      <c r="B859" s="2" t="s">
        <v>8</v>
      </c>
      <c r="C859" s="2" t="s">
        <v>21</v>
      </c>
      <c r="D859" s="2" t="s">
        <v>28</v>
      </c>
      <c r="E859">
        <v>14</v>
      </c>
      <c r="F859" s="3">
        <v>5596.12</v>
      </c>
      <c r="G859" s="3">
        <f t="shared" si="13"/>
        <v>78345.679999999993</v>
      </c>
    </row>
    <row r="860" spans="1:7" x14ac:dyDescent="0.2">
      <c r="A860" s="1" t="s">
        <v>347</v>
      </c>
      <c r="B860" s="2" t="s">
        <v>16</v>
      </c>
      <c r="C860" s="2" t="s">
        <v>11</v>
      </c>
      <c r="D860" s="2" t="s">
        <v>12</v>
      </c>
      <c r="E860">
        <v>3</v>
      </c>
      <c r="F860" s="3">
        <v>3008.91</v>
      </c>
      <c r="G860" s="3">
        <f t="shared" si="13"/>
        <v>9026.73</v>
      </c>
    </row>
    <row r="861" spans="1:7" x14ac:dyDescent="0.2">
      <c r="A861" s="1" t="s">
        <v>347</v>
      </c>
      <c r="B861" s="2" t="s">
        <v>19</v>
      </c>
      <c r="C861" s="2" t="s">
        <v>9</v>
      </c>
      <c r="D861" s="2" t="s">
        <v>10</v>
      </c>
      <c r="E861">
        <v>3</v>
      </c>
      <c r="F861" s="3">
        <v>898</v>
      </c>
      <c r="G861" s="3">
        <f t="shared" si="13"/>
        <v>2694</v>
      </c>
    </row>
    <row r="862" spans="1:7" x14ac:dyDescent="0.2">
      <c r="A862" s="1" t="s">
        <v>348</v>
      </c>
      <c r="B862" s="2" t="s">
        <v>8</v>
      </c>
      <c r="C862" s="2" t="s">
        <v>21</v>
      </c>
      <c r="D862" s="2" t="s">
        <v>28</v>
      </c>
      <c r="E862">
        <v>9</v>
      </c>
      <c r="F862" s="3">
        <v>2840.72</v>
      </c>
      <c r="G862" s="3">
        <f t="shared" si="13"/>
        <v>25566.48</v>
      </c>
    </row>
    <row r="863" spans="1:7" x14ac:dyDescent="0.2">
      <c r="A863" s="1" t="s">
        <v>348</v>
      </c>
      <c r="B863" s="2" t="s">
        <v>8</v>
      </c>
      <c r="C863" s="2" t="s">
        <v>9</v>
      </c>
      <c r="D863" s="2" t="s">
        <v>17</v>
      </c>
      <c r="E863">
        <v>7</v>
      </c>
      <c r="F863" s="3">
        <v>3733.97</v>
      </c>
      <c r="G863" s="3">
        <f t="shared" si="13"/>
        <v>26137.789999999997</v>
      </c>
    </row>
    <row r="864" spans="1:7" x14ac:dyDescent="0.2">
      <c r="A864" s="1" t="s">
        <v>348</v>
      </c>
      <c r="B864" s="2" t="s">
        <v>16</v>
      </c>
      <c r="C864" s="2" t="s">
        <v>11</v>
      </c>
      <c r="D864" s="2" t="s">
        <v>14</v>
      </c>
      <c r="E864">
        <v>12</v>
      </c>
      <c r="F864" s="3">
        <v>1223.33</v>
      </c>
      <c r="G864" s="3">
        <f t="shared" si="13"/>
        <v>14679.96</v>
      </c>
    </row>
    <row r="865" spans="1:7" x14ac:dyDescent="0.2">
      <c r="A865" s="1" t="s">
        <v>348</v>
      </c>
      <c r="B865" s="2" t="s">
        <v>19</v>
      </c>
      <c r="C865" s="2" t="s">
        <v>9</v>
      </c>
      <c r="D865" s="2" t="s">
        <v>30</v>
      </c>
      <c r="E865">
        <v>2</v>
      </c>
      <c r="F865" s="3">
        <v>5534.16</v>
      </c>
      <c r="G865" s="3">
        <f t="shared" si="13"/>
        <v>11068.32</v>
      </c>
    </row>
    <row r="866" spans="1:7" x14ac:dyDescent="0.2">
      <c r="A866" s="1" t="s">
        <v>348</v>
      </c>
      <c r="B866" s="2" t="s">
        <v>16</v>
      </c>
      <c r="C866" s="2" t="s">
        <v>11</v>
      </c>
      <c r="D866" s="2" t="s">
        <v>12</v>
      </c>
      <c r="E866">
        <v>12</v>
      </c>
      <c r="F866" s="3">
        <v>2036.61</v>
      </c>
      <c r="G866" s="3">
        <f t="shared" si="13"/>
        <v>24439.32</v>
      </c>
    </row>
    <row r="867" spans="1:7" x14ac:dyDescent="0.2">
      <c r="A867" s="1" t="s">
        <v>349</v>
      </c>
      <c r="B867" s="2" t="s">
        <v>16</v>
      </c>
      <c r="C867" s="2" t="s">
        <v>21</v>
      </c>
      <c r="D867" s="2" t="s">
        <v>22</v>
      </c>
      <c r="E867">
        <v>9</v>
      </c>
      <c r="F867" s="3">
        <v>737.59</v>
      </c>
      <c r="G867" s="3">
        <f t="shared" si="13"/>
        <v>6638.31</v>
      </c>
    </row>
    <row r="868" spans="1:7" x14ac:dyDescent="0.2">
      <c r="A868" s="1" t="s">
        <v>349</v>
      </c>
      <c r="B868" s="2" t="s">
        <v>8</v>
      </c>
      <c r="C868" s="2" t="s">
        <v>11</v>
      </c>
      <c r="D868" s="2" t="s">
        <v>14</v>
      </c>
      <c r="E868">
        <v>8</v>
      </c>
      <c r="F868" s="3">
        <v>984.01</v>
      </c>
      <c r="G868" s="3">
        <f t="shared" si="13"/>
        <v>7872.08</v>
      </c>
    </row>
    <row r="869" spans="1:7" x14ac:dyDescent="0.2">
      <c r="A869" s="1" t="s">
        <v>349</v>
      </c>
      <c r="B869" s="2" t="s">
        <v>8</v>
      </c>
      <c r="C869" s="2" t="s">
        <v>9</v>
      </c>
      <c r="D869" s="2" t="s">
        <v>43</v>
      </c>
      <c r="E869">
        <v>1</v>
      </c>
      <c r="F869" s="3">
        <v>1264.1500000000001</v>
      </c>
      <c r="G869" s="3">
        <f t="shared" si="13"/>
        <v>1264.1500000000001</v>
      </c>
    </row>
    <row r="870" spans="1:7" x14ac:dyDescent="0.2">
      <c r="A870" s="1" t="s">
        <v>349</v>
      </c>
      <c r="B870" s="2" t="s">
        <v>8</v>
      </c>
      <c r="C870" s="2" t="s">
        <v>21</v>
      </c>
      <c r="D870" s="2" t="s">
        <v>58</v>
      </c>
      <c r="E870">
        <v>2</v>
      </c>
      <c r="F870" s="3">
        <v>1460.65</v>
      </c>
      <c r="G870" s="3">
        <f t="shared" si="13"/>
        <v>2921.3</v>
      </c>
    </row>
    <row r="871" spans="1:7" x14ac:dyDescent="0.2">
      <c r="A871" s="1" t="s">
        <v>349</v>
      </c>
      <c r="B871" s="2" t="s">
        <v>8</v>
      </c>
      <c r="C871" s="2" t="s">
        <v>25</v>
      </c>
      <c r="D871" s="2" t="s">
        <v>26</v>
      </c>
      <c r="E871">
        <v>1</v>
      </c>
      <c r="F871" s="3">
        <v>1773.12</v>
      </c>
      <c r="G871" s="3">
        <f t="shared" si="13"/>
        <v>1773.12</v>
      </c>
    </row>
    <row r="872" spans="1:7" x14ac:dyDescent="0.2">
      <c r="A872" s="1" t="s">
        <v>350</v>
      </c>
      <c r="B872" s="2" t="s">
        <v>8</v>
      </c>
      <c r="C872" s="2" t="s">
        <v>21</v>
      </c>
      <c r="D872" s="2" t="s">
        <v>58</v>
      </c>
      <c r="E872">
        <v>7</v>
      </c>
      <c r="F872" s="3">
        <v>2396.5500000000002</v>
      </c>
      <c r="G872" s="3">
        <f t="shared" si="13"/>
        <v>16775.850000000002</v>
      </c>
    </row>
    <row r="873" spans="1:7" x14ac:dyDescent="0.2">
      <c r="A873" s="1" t="s">
        <v>350</v>
      </c>
      <c r="B873" s="2" t="s">
        <v>8</v>
      </c>
      <c r="C873" s="2" t="s">
        <v>11</v>
      </c>
      <c r="D873" s="2" t="s">
        <v>31</v>
      </c>
      <c r="E873">
        <v>8</v>
      </c>
      <c r="F873" s="3">
        <v>516.79</v>
      </c>
      <c r="G873" s="3">
        <f t="shared" si="13"/>
        <v>4134.32</v>
      </c>
    </row>
    <row r="874" spans="1:7" x14ac:dyDescent="0.2">
      <c r="A874" s="1" t="s">
        <v>350</v>
      </c>
      <c r="B874" s="2" t="s">
        <v>19</v>
      </c>
      <c r="C874" s="2" t="s">
        <v>21</v>
      </c>
      <c r="D874" s="2" t="s">
        <v>22</v>
      </c>
      <c r="E874">
        <v>1</v>
      </c>
      <c r="F874" s="3">
        <v>1211.55</v>
      </c>
      <c r="G874" s="3">
        <f t="shared" si="13"/>
        <v>1211.55</v>
      </c>
    </row>
    <row r="875" spans="1:7" x14ac:dyDescent="0.2">
      <c r="A875" s="1" t="s">
        <v>351</v>
      </c>
      <c r="B875" s="2" t="s">
        <v>16</v>
      </c>
      <c r="C875" s="2" t="s">
        <v>25</v>
      </c>
      <c r="D875" s="2" t="s">
        <v>36</v>
      </c>
      <c r="E875">
        <v>7</v>
      </c>
      <c r="F875" s="3">
        <v>877.07</v>
      </c>
      <c r="G875" s="3">
        <f t="shared" si="13"/>
        <v>6139.4900000000007</v>
      </c>
    </row>
    <row r="876" spans="1:7" x14ac:dyDescent="0.2">
      <c r="A876" s="1" t="s">
        <v>351</v>
      </c>
      <c r="B876" s="2" t="s">
        <v>8</v>
      </c>
      <c r="C876" s="2" t="s">
        <v>25</v>
      </c>
      <c r="D876" s="2" t="s">
        <v>26</v>
      </c>
      <c r="E876">
        <v>2</v>
      </c>
      <c r="F876" s="3">
        <v>1789.76</v>
      </c>
      <c r="G876" s="3">
        <f t="shared" si="13"/>
        <v>3579.52</v>
      </c>
    </row>
    <row r="877" spans="1:7" x14ac:dyDescent="0.2">
      <c r="A877" s="1" t="s">
        <v>352</v>
      </c>
      <c r="B877" s="2" t="s">
        <v>8</v>
      </c>
      <c r="C877" s="2" t="s">
        <v>9</v>
      </c>
      <c r="D877" s="2" t="s">
        <v>17</v>
      </c>
      <c r="E877">
        <v>8</v>
      </c>
      <c r="F877" s="3">
        <v>5593.75</v>
      </c>
      <c r="G877" s="3">
        <f t="shared" si="13"/>
        <v>44750</v>
      </c>
    </row>
    <row r="878" spans="1:7" x14ac:dyDescent="0.2">
      <c r="A878" s="1" t="s">
        <v>352</v>
      </c>
      <c r="B878" s="2" t="s">
        <v>19</v>
      </c>
      <c r="C878" s="2" t="s">
        <v>11</v>
      </c>
      <c r="D878" s="2" t="s">
        <v>14</v>
      </c>
      <c r="E878">
        <v>2</v>
      </c>
      <c r="F878" s="3">
        <v>1488.36</v>
      </c>
      <c r="G878" s="3">
        <f t="shared" si="13"/>
        <v>2976.72</v>
      </c>
    </row>
    <row r="879" spans="1:7" x14ac:dyDescent="0.2">
      <c r="A879" s="1" t="s">
        <v>353</v>
      </c>
      <c r="B879" s="2" t="s">
        <v>8</v>
      </c>
      <c r="C879" s="2" t="s">
        <v>11</v>
      </c>
      <c r="D879" s="2" t="s">
        <v>12</v>
      </c>
      <c r="E879">
        <v>2</v>
      </c>
      <c r="F879" s="3">
        <v>2475.91</v>
      </c>
      <c r="G879" s="3">
        <f t="shared" si="13"/>
        <v>4951.82</v>
      </c>
    </row>
    <row r="880" spans="1:7" x14ac:dyDescent="0.2">
      <c r="A880" s="1" t="s">
        <v>353</v>
      </c>
      <c r="B880" s="2" t="s">
        <v>8</v>
      </c>
      <c r="C880" s="2" t="s">
        <v>25</v>
      </c>
      <c r="D880" s="2" t="s">
        <v>50</v>
      </c>
      <c r="E880">
        <v>2</v>
      </c>
      <c r="F880" s="3">
        <v>2181.6999999999998</v>
      </c>
      <c r="G880" s="3">
        <f t="shared" si="13"/>
        <v>4363.3999999999996</v>
      </c>
    </row>
    <row r="881" spans="1:7" x14ac:dyDescent="0.2">
      <c r="A881" s="1" t="s">
        <v>353</v>
      </c>
      <c r="B881" s="2" t="s">
        <v>16</v>
      </c>
      <c r="C881" s="2" t="s">
        <v>25</v>
      </c>
      <c r="D881" s="2" t="s">
        <v>50</v>
      </c>
      <c r="E881">
        <v>8</v>
      </c>
      <c r="F881" s="3">
        <v>2526.42</v>
      </c>
      <c r="G881" s="3">
        <f t="shared" si="13"/>
        <v>20211.36</v>
      </c>
    </row>
    <row r="882" spans="1:7" x14ac:dyDescent="0.2">
      <c r="A882" s="1" t="s">
        <v>354</v>
      </c>
      <c r="B882" s="2" t="s">
        <v>8</v>
      </c>
      <c r="C882" s="2" t="s">
        <v>21</v>
      </c>
      <c r="D882" s="2" t="s">
        <v>28</v>
      </c>
      <c r="E882">
        <v>10</v>
      </c>
      <c r="F882" s="3">
        <v>4175.12</v>
      </c>
      <c r="G882" s="3">
        <f t="shared" si="13"/>
        <v>41751.199999999997</v>
      </c>
    </row>
    <row r="883" spans="1:7" x14ac:dyDescent="0.2">
      <c r="A883" s="1" t="s">
        <v>354</v>
      </c>
      <c r="B883" s="2" t="s">
        <v>16</v>
      </c>
      <c r="C883" s="2" t="s">
        <v>9</v>
      </c>
      <c r="D883" s="2" t="s">
        <v>17</v>
      </c>
      <c r="E883">
        <v>4</v>
      </c>
      <c r="F883" s="3">
        <v>3923.2</v>
      </c>
      <c r="G883" s="3">
        <f t="shared" si="13"/>
        <v>15692.8</v>
      </c>
    </row>
    <row r="884" spans="1:7" x14ac:dyDescent="0.2">
      <c r="A884" s="1" t="s">
        <v>354</v>
      </c>
      <c r="B884" s="2" t="s">
        <v>16</v>
      </c>
      <c r="C884" s="2" t="s">
        <v>9</v>
      </c>
      <c r="D884" s="2" t="s">
        <v>10</v>
      </c>
      <c r="E884">
        <v>5</v>
      </c>
      <c r="F884" s="3">
        <v>625.36</v>
      </c>
      <c r="G884" s="3">
        <f t="shared" si="13"/>
        <v>3126.8</v>
      </c>
    </row>
    <row r="885" spans="1:7" x14ac:dyDescent="0.2">
      <c r="A885" s="1" t="s">
        <v>355</v>
      </c>
      <c r="B885" s="2" t="s">
        <v>19</v>
      </c>
      <c r="C885" s="2" t="s">
        <v>21</v>
      </c>
      <c r="D885" s="2" t="s">
        <v>22</v>
      </c>
      <c r="E885">
        <v>5</v>
      </c>
      <c r="F885" s="3">
        <v>814.38</v>
      </c>
      <c r="G885" s="3">
        <f t="shared" si="13"/>
        <v>4071.9</v>
      </c>
    </row>
    <row r="886" spans="1:7" x14ac:dyDescent="0.2">
      <c r="A886" s="1" t="s">
        <v>355</v>
      </c>
      <c r="B886" s="2" t="s">
        <v>16</v>
      </c>
      <c r="C886" s="2" t="s">
        <v>25</v>
      </c>
      <c r="D886" s="2" t="s">
        <v>36</v>
      </c>
      <c r="E886">
        <v>3</v>
      </c>
      <c r="F886" s="3">
        <v>411.88</v>
      </c>
      <c r="G886" s="3">
        <f t="shared" si="13"/>
        <v>1235.6399999999999</v>
      </c>
    </row>
    <row r="887" spans="1:7" x14ac:dyDescent="0.2">
      <c r="A887" s="1" t="s">
        <v>355</v>
      </c>
      <c r="B887" s="2" t="s">
        <v>8</v>
      </c>
      <c r="C887" s="2" t="s">
        <v>25</v>
      </c>
      <c r="D887" s="2" t="s">
        <v>36</v>
      </c>
      <c r="E887">
        <v>3</v>
      </c>
      <c r="F887" s="3">
        <v>674.98</v>
      </c>
      <c r="G887" s="3">
        <f t="shared" si="13"/>
        <v>2024.94</v>
      </c>
    </row>
    <row r="888" spans="1:7" x14ac:dyDescent="0.2">
      <c r="A888" s="1" t="s">
        <v>356</v>
      </c>
      <c r="B888" s="2" t="s">
        <v>13</v>
      </c>
      <c r="C888" s="2" t="s">
        <v>11</v>
      </c>
      <c r="D888" s="2" t="s">
        <v>12</v>
      </c>
      <c r="E888">
        <v>8</v>
      </c>
      <c r="F888" s="3">
        <v>2452.83</v>
      </c>
      <c r="G888" s="3">
        <f t="shared" si="13"/>
        <v>19622.64</v>
      </c>
    </row>
    <row r="889" spans="1:7" x14ac:dyDescent="0.2">
      <c r="A889" s="1" t="s">
        <v>356</v>
      </c>
      <c r="B889" s="2" t="s">
        <v>19</v>
      </c>
      <c r="C889" s="2" t="s">
        <v>9</v>
      </c>
      <c r="D889" s="2" t="s">
        <v>10</v>
      </c>
      <c r="E889">
        <v>2</v>
      </c>
      <c r="F889" s="3">
        <v>467.79</v>
      </c>
      <c r="G889" s="3">
        <f t="shared" si="13"/>
        <v>935.58</v>
      </c>
    </row>
    <row r="890" spans="1:7" x14ac:dyDescent="0.2">
      <c r="A890" s="1" t="s">
        <v>357</v>
      </c>
      <c r="B890" s="2" t="s">
        <v>19</v>
      </c>
      <c r="C890" s="2" t="s">
        <v>21</v>
      </c>
      <c r="D890" s="2" t="s">
        <v>58</v>
      </c>
      <c r="E890">
        <v>8</v>
      </c>
      <c r="F890" s="3">
        <v>2501.1</v>
      </c>
      <c r="G890" s="3">
        <f t="shared" si="13"/>
        <v>20008.8</v>
      </c>
    </row>
    <row r="891" spans="1:7" x14ac:dyDescent="0.2">
      <c r="A891" s="1" t="s">
        <v>357</v>
      </c>
      <c r="B891" s="2" t="s">
        <v>8</v>
      </c>
      <c r="C891" s="2" t="s">
        <v>11</v>
      </c>
      <c r="D891" s="2" t="s">
        <v>31</v>
      </c>
      <c r="E891">
        <v>10</v>
      </c>
      <c r="F891" s="3">
        <v>533.04999999999995</v>
      </c>
      <c r="G891" s="3">
        <f t="shared" si="13"/>
        <v>5330.5</v>
      </c>
    </row>
    <row r="892" spans="1:7" x14ac:dyDescent="0.2">
      <c r="A892" s="1" t="s">
        <v>357</v>
      </c>
      <c r="B892" s="2" t="s">
        <v>8</v>
      </c>
      <c r="C892" s="2" t="s">
        <v>9</v>
      </c>
      <c r="D892" s="2" t="s">
        <v>17</v>
      </c>
      <c r="E892">
        <v>3</v>
      </c>
      <c r="F892" s="3">
        <v>5074.18</v>
      </c>
      <c r="G892" s="3">
        <f t="shared" si="13"/>
        <v>15222.54</v>
      </c>
    </row>
    <row r="893" spans="1:7" x14ac:dyDescent="0.2">
      <c r="A893" s="1" t="s">
        <v>357</v>
      </c>
      <c r="B893" s="2" t="s">
        <v>8</v>
      </c>
      <c r="C893" s="2" t="s">
        <v>21</v>
      </c>
      <c r="D893" s="2" t="s">
        <v>22</v>
      </c>
      <c r="E893">
        <v>2</v>
      </c>
      <c r="F893" s="3">
        <v>1214.01</v>
      </c>
      <c r="G893" s="3">
        <f t="shared" si="13"/>
        <v>2428.02</v>
      </c>
    </row>
    <row r="894" spans="1:7" x14ac:dyDescent="0.2">
      <c r="A894" s="1" t="s">
        <v>358</v>
      </c>
      <c r="B894" s="2" t="s">
        <v>19</v>
      </c>
      <c r="C894" s="2" t="s">
        <v>21</v>
      </c>
      <c r="D894" s="2" t="s">
        <v>22</v>
      </c>
      <c r="E894">
        <v>6</v>
      </c>
      <c r="F894" s="3">
        <v>1295.95</v>
      </c>
      <c r="G894" s="3">
        <f t="shared" si="13"/>
        <v>7775.7000000000007</v>
      </c>
    </row>
    <row r="895" spans="1:7" x14ac:dyDescent="0.2">
      <c r="A895" s="1" t="s">
        <v>358</v>
      </c>
      <c r="B895" s="2" t="s">
        <v>16</v>
      </c>
      <c r="C895" s="2" t="s">
        <v>9</v>
      </c>
      <c r="D895" s="2" t="s">
        <v>30</v>
      </c>
      <c r="E895">
        <v>6</v>
      </c>
      <c r="F895" s="3">
        <v>6565.49</v>
      </c>
      <c r="G895" s="3">
        <f t="shared" si="13"/>
        <v>39392.94</v>
      </c>
    </row>
    <row r="896" spans="1:7" x14ac:dyDescent="0.2">
      <c r="A896" s="1" t="s">
        <v>358</v>
      </c>
      <c r="B896" s="2" t="s">
        <v>8</v>
      </c>
      <c r="C896" s="2" t="s">
        <v>11</v>
      </c>
      <c r="D896" s="2" t="s">
        <v>31</v>
      </c>
      <c r="E896">
        <v>10</v>
      </c>
      <c r="F896" s="3">
        <v>558.91</v>
      </c>
      <c r="G896" s="3">
        <f t="shared" si="13"/>
        <v>5589.0999999999995</v>
      </c>
    </row>
    <row r="897" spans="1:7" x14ac:dyDescent="0.2">
      <c r="A897" s="1" t="s">
        <v>359</v>
      </c>
      <c r="B897" s="2" t="s">
        <v>13</v>
      </c>
      <c r="C897" s="2" t="s">
        <v>11</v>
      </c>
      <c r="D897" s="2" t="s">
        <v>14</v>
      </c>
      <c r="E897">
        <v>3</v>
      </c>
      <c r="F897" s="3">
        <v>1786.62</v>
      </c>
      <c r="G897" s="3">
        <f t="shared" si="13"/>
        <v>5359.86</v>
      </c>
    </row>
    <row r="898" spans="1:7" x14ac:dyDescent="0.2">
      <c r="A898" s="1" t="s">
        <v>359</v>
      </c>
      <c r="B898" s="2" t="s">
        <v>13</v>
      </c>
      <c r="C898" s="2" t="s">
        <v>11</v>
      </c>
      <c r="D898" s="2" t="s">
        <v>14</v>
      </c>
      <c r="E898">
        <v>1</v>
      </c>
      <c r="F898" s="3">
        <v>1509.47</v>
      </c>
      <c r="G898" s="3">
        <f t="shared" ref="G898:G901" si="14">E898*F898</f>
        <v>1509.47</v>
      </c>
    </row>
    <row r="899" spans="1:7" x14ac:dyDescent="0.2">
      <c r="A899" s="1" t="s">
        <v>359</v>
      </c>
      <c r="B899" s="2" t="s">
        <v>16</v>
      </c>
      <c r="C899" s="2" t="s">
        <v>21</v>
      </c>
      <c r="D899" s="2" t="s">
        <v>27</v>
      </c>
      <c r="E899">
        <v>8</v>
      </c>
      <c r="F899" s="3">
        <v>1594.12</v>
      </c>
      <c r="G899" s="3">
        <f t="shared" si="14"/>
        <v>12752.96</v>
      </c>
    </row>
    <row r="900" spans="1:7" x14ac:dyDescent="0.2">
      <c r="A900" s="1" t="s">
        <v>359</v>
      </c>
      <c r="B900" s="2" t="s">
        <v>8</v>
      </c>
      <c r="C900" s="2" t="s">
        <v>11</v>
      </c>
      <c r="D900" s="2" t="s">
        <v>31</v>
      </c>
      <c r="E900">
        <v>13</v>
      </c>
      <c r="F900" s="3">
        <v>571.92999999999995</v>
      </c>
      <c r="G900" s="3">
        <f t="shared" si="14"/>
        <v>7435.0899999999992</v>
      </c>
    </row>
    <row r="901" spans="1:7" x14ac:dyDescent="0.2">
      <c r="A901" s="1" t="s">
        <v>360</v>
      </c>
      <c r="B901" s="2" t="s">
        <v>16</v>
      </c>
      <c r="C901" s="2" t="s">
        <v>25</v>
      </c>
      <c r="D901" s="2" t="s">
        <v>36</v>
      </c>
      <c r="E901">
        <v>6</v>
      </c>
      <c r="F901" s="3">
        <v>733.92</v>
      </c>
      <c r="G901" s="3">
        <f t="shared" si="14"/>
        <v>4403.5199999999995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>
      <pane ySplit="1" topLeftCell="A11" activePane="bottomLeft" state="frozen"/>
      <selection pane="bottomLeft" activeCell="E1" sqref="E1"/>
    </sheetView>
  </sheetViews>
  <sheetFormatPr baseColWidth="10" defaultColWidth="8.6640625" defaultRowHeight="15" x14ac:dyDescent="0.2"/>
  <cols>
    <col min="1" max="1" width="26" customWidth="1"/>
    <col min="2" max="2" width="16" customWidth="1"/>
    <col min="3" max="3" width="12" customWidth="1"/>
    <col min="4" max="4" width="14" customWidth="1"/>
    <col min="5" max="5" width="8" customWidth="1"/>
  </cols>
  <sheetData>
    <row r="1" spans="1:5" x14ac:dyDescent="0.2">
      <c r="A1" s="18" t="s">
        <v>3</v>
      </c>
      <c r="B1" s="18" t="s">
        <v>2</v>
      </c>
      <c r="C1" s="18" t="s">
        <v>3</v>
      </c>
      <c r="D1" s="18" t="s">
        <v>3</v>
      </c>
      <c r="E1" s="18" t="s">
        <v>3</v>
      </c>
    </row>
    <row r="2" spans="1:5" x14ac:dyDescent="0.2">
      <c r="A2" t="s">
        <v>30</v>
      </c>
      <c r="B2" t="s">
        <v>9</v>
      </c>
      <c r="C2">
        <f>SUMIF('Raw Data'!$D$2:$D$901,A2,'Raw Data'!$E$2:$E$901)</f>
        <v>197</v>
      </c>
      <c r="D2" s="3">
        <f>SUMIF('Raw Data'!$D$2:$D$901,A2,'Raw Data'!$G$2:$G$901)</f>
        <v>1300034.6900000004</v>
      </c>
      <c r="E2" s="2">
        <f>RANK(D2,$D$2:$D$21)+COUNTIF($D$2:D2,D2)-1</f>
        <v>1</v>
      </c>
    </row>
    <row r="3" spans="1:5" x14ac:dyDescent="0.2">
      <c r="A3" t="s">
        <v>58</v>
      </c>
      <c r="B3" t="s">
        <v>21</v>
      </c>
      <c r="C3">
        <f>SUMIF('Raw Data'!$D$2:$D$901,A3,'Raw Data'!$E$2:$E$901)</f>
        <v>211</v>
      </c>
      <c r="D3" s="3">
        <f>SUMIF('Raw Data'!$D$2:$D$901,A3,'Raw Data'!$G$2:$G$901)</f>
        <v>441558.10000000009</v>
      </c>
      <c r="E3" s="2">
        <f>RANK(D3,$D$2:$D$21)+COUNTIF($D$2:D3,D3)-1</f>
        <v>8</v>
      </c>
    </row>
    <row r="4" spans="1:5" x14ac:dyDescent="0.2">
      <c r="A4" t="s">
        <v>26</v>
      </c>
      <c r="B4" t="s">
        <v>25</v>
      </c>
      <c r="C4">
        <f>SUMIF('Raw Data'!$D$2:$D$901,A4,'Raw Data'!$E$2:$E$901)</f>
        <v>249</v>
      </c>
      <c r="D4" s="3">
        <f>SUMIF('Raw Data'!$D$2:$D$901,A4,'Raw Data'!$G$2:$G$901)</f>
        <v>394528.81</v>
      </c>
      <c r="E4" s="2">
        <f>RANK(D4,$D$2:$D$21)+COUNTIF($D$2:D4,D4)-1</f>
        <v>11</v>
      </c>
    </row>
    <row r="5" spans="1:5" x14ac:dyDescent="0.2">
      <c r="A5" t="s">
        <v>64</v>
      </c>
      <c r="B5" t="s">
        <v>25</v>
      </c>
      <c r="C5">
        <f>SUMIF('Raw Data'!$D$2:$D$901,A5,'Raw Data'!$E$2:$E$901)</f>
        <v>221</v>
      </c>
      <c r="D5" s="3">
        <f>SUMIF('Raw Data'!$D$2:$D$901,A5,'Raw Data'!$G$2:$G$901)</f>
        <v>266738.61000000004</v>
      </c>
      <c r="E5" s="2">
        <f>RANK(D5,$D$2:$D$21)+COUNTIF($D$2:D5,D5)-1</f>
        <v>13</v>
      </c>
    </row>
    <row r="6" spans="1:5" x14ac:dyDescent="0.2">
      <c r="A6" t="s">
        <v>14</v>
      </c>
      <c r="B6" t="s">
        <v>11</v>
      </c>
      <c r="C6">
        <f>SUMIF('Raw Data'!$D$2:$D$901,A6,'Raw Data'!$E$2:$E$901)</f>
        <v>300</v>
      </c>
      <c r="D6" s="3">
        <f>SUMIF('Raw Data'!$D$2:$D$901,A6,'Raw Data'!$G$2:$G$901)</f>
        <v>397169.3899999999</v>
      </c>
      <c r="E6" s="2">
        <f>RANK(D6,$D$2:$D$21)+COUNTIF($D$2:D6,D6)-1</f>
        <v>10</v>
      </c>
    </row>
    <row r="7" spans="1:5" x14ac:dyDescent="0.2">
      <c r="A7" t="s">
        <v>50</v>
      </c>
      <c r="B7" t="s">
        <v>25</v>
      </c>
      <c r="C7">
        <f>SUMIF('Raw Data'!$D$2:$D$901,A7,'Raw Data'!$E$2:$E$901)</f>
        <v>240</v>
      </c>
      <c r="D7" s="3">
        <f>SUMIF('Raw Data'!$D$2:$D$901,A7,'Raw Data'!$G$2:$G$901)</f>
        <v>489491.08</v>
      </c>
      <c r="E7" s="2">
        <f>RANK(D7,$D$2:$D$21)+COUNTIF($D$2:D7,D7)-1</f>
        <v>6</v>
      </c>
    </row>
    <row r="8" spans="1:5" x14ac:dyDescent="0.2">
      <c r="A8" t="s">
        <v>43</v>
      </c>
      <c r="B8" t="s">
        <v>9</v>
      </c>
      <c r="C8">
        <f>SUMIF('Raw Data'!$D$2:$D$901,A8,'Raw Data'!$E$2:$E$901)</f>
        <v>203</v>
      </c>
      <c r="D8" s="3">
        <f>SUMIF('Raw Data'!$D$2:$D$901,A8,'Raw Data'!$G$2:$G$901)</f>
        <v>208718.90999999997</v>
      </c>
      <c r="E8" s="2">
        <f>RANK(D8,$D$2:$D$21)+COUNTIF($D$2:D8,D8)-1</f>
        <v>15</v>
      </c>
    </row>
    <row r="9" spans="1:5" x14ac:dyDescent="0.2">
      <c r="A9" t="s">
        <v>45</v>
      </c>
      <c r="B9" t="s">
        <v>25</v>
      </c>
      <c r="C9">
        <f>SUMIF('Raw Data'!$D$2:$D$901,A9,'Raw Data'!$E$2:$E$901)</f>
        <v>272</v>
      </c>
      <c r="D9" s="3">
        <f>SUMIF('Raw Data'!$D$2:$D$901,A9,'Raw Data'!$G$2:$G$901)</f>
        <v>228954.31</v>
      </c>
      <c r="E9" s="2">
        <f>RANK(D9,$D$2:$D$21)+COUNTIF($D$2:D9,D9)-1</f>
        <v>14</v>
      </c>
    </row>
    <row r="10" spans="1:5" x14ac:dyDescent="0.2">
      <c r="A10" t="s">
        <v>10</v>
      </c>
      <c r="B10" t="s">
        <v>9</v>
      </c>
      <c r="C10">
        <f>SUMIF('Raw Data'!$D$2:$D$901,A10,'Raw Data'!$E$2:$E$901)</f>
        <v>201</v>
      </c>
      <c r="D10" s="3">
        <f>SUMIF('Raw Data'!$D$2:$D$901,A10,'Raw Data'!$G$2:$G$901)</f>
        <v>133002.71999999994</v>
      </c>
      <c r="E10" s="2">
        <f>RANK(D10,$D$2:$D$21)+COUNTIF($D$2:D10,D10)-1</f>
        <v>18</v>
      </c>
    </row>
    <row r="11" spans="1:5" x14ac:dyDescent="0.2">
      <c r="A11" t="s">
        <v>31</v>
      </c>
      <c r="B11" t="s">
        <v>11</v>
      </c>
      <c r="C11">
        <f>SUMIF('Raw Data'!$D$2:$D$901,A11,'Raw Data'!$E$2:$E$901)</f>
        <v>302</v>
      </c>
      <c r="D11" s="3">
        <f>SUMIF('Raw Data'!$D$2:$D$901,A11,'Raw Data'!$G$2:$G$901)</f>
        <v>151368.28</v>
      </c>
      <c r="E11" s="2">
        <f>RANK(D11,$D$2:$D$21)+COUNTIF($D$2:D11,D11)-1</f>
        <v>17</v>
      </c>
    </row>
    <row r="12" spans="1:5" x14ac:dyDescent="0.2">
      <c r="A12" t="s">
        <v>41</v>
      </c>
      <c r="B12" t="s">
        <v>9</v>
      </c>
      <c r="C12">
        <f>SUMIF('Raw Data'!$D$2:$D$901,A12,'Raw Data'!$E$2:$E$901)</f>
        <v>241</v>
      </c>
      <c r="D12" s="3">
        <f>SUMIF('Raw Data'!$D$2:$D$901,A12,'Raw Data'!$G$2:$G$901)</f>
        <v>452245.9200000001</v>
      </c>
      <c r="E12" s="2">
        <f>RANK(D12,$D$2:$D$21)+COUNTIF($D$2:D12,D12)-1</f>
        <v>7</v>
      </c>
    </row>
    <row r="13" spans="1:5" x14ac:dyDescent="0.2">
      <c r="A13" t="s">
        <v>27</v>
      </c>
      <c r="B13" t="s">
        <v>21</v>
      </c>
      <c r="C13">
        <f>SUMIF('Raw Data'!$D$2:$D$901,A13,'Raw Data'!$E$2:$E$901)</f>
        <v>227</v>
      </c>
      <c r="D13" s="3">
        <f>SUMIF('Raw Data'!$D$2:$D$901,A13,'Raw Data'!$G$2:$G$901)</f>
        <v>306292.2</v>
      </c>
      <c r="E13" s="2">
        <f>RANK(D13,$D$2:$D$21)+COUNTIF($D$2:D13,D13)-1</f>
        <v>12</v>
      </c>
    </row>
    <row r="14" spans="1:5" x14ac:dyDescent="0.2">
      <c r="A14" t="s">
        <v>48</v>
      </c>
      <c r="B14" t="s">
        <v>11</v>
      </c>
      <c r="C14">
        <f>SUMIF('Raw Data'!$D$2:$D$901,A14,'Raw Data'!$E$2:$E$901)</f>
        <v>200</v>
      </c>
      <c r="D14" s="3">
        <f>SUMIF('Raw Data'!$D$2:$D$901,A14,'Raw Data'!$G$2:$G$901)</f>
        <v>580434.98</v>
      </c>
      <c r="E14" s="2">
        <f>RANK(D14,$D$2:$D$21)+COUNTIF($D$2:D14,D14)-1</f>
        <v>5</v>
      </c>
    </row>
    <row r="15" spans="1:5" x14ac:dyDescent="0.2">
      <c r="A15" t="s">
        <v>28</v>
      </c>
      <c r="B15" t="s">
        <v>21</v>
      </c>
      <c r="C15">
        <f>SUMIF('Raw Data'!$D$2:$D$901,A15,'Raw Data'!$E$2:$E$901)</f>
        <v>228</v>
      </c>
      <c r="D15" s="3">
        <f>SUMIF('Raw Data'!$D$2:$D$901,A15,'Raw Data'!$G$2:$G$901)</f>
        <v>1008438.0799999998</v>
      </c>
      <c r="E15" s="2">
        <f>RANK(D15,$D$2:$D$21)+COUNTIF($D$2:D15,D15)-1</f>
        <v>2</v>
      </c>
    </row>
    <row r="16" spans="1:5" x14ac:dyDescent="0.2">
      <c r="A16" t="s">
        <v>22</v>
      </c>
      <c r="B16" t="s">
        <v>21</v>
      </c>
      <c r="C16">
        <f>SUMIF('Raw Data'!$D$2:$D$901,A16,'Raw Data'!$E$2:$E$901)</f>
        <v>190</v>
      </c>
      <c r="D16" s="3">
        <f>SUMIF('Raw Data'!$D$2:$D$901,A16,'Raw Data'!$G$2:$G$901)</f>
        <v>200495.75</v>
      </c>
      <c r="E16" s="2">
        <f>RANK(D16,$D$2:$D$21)+COUNTIF($D$2:D16,D16)-1</f>
        <v>16</v>
      </c>
    </row>
    <row r="17" spans="1:5" x14ac:dyDescent="0.2">
      <c r="A17" t="s">
        <v>17</v>
      </c>
      <c r="B17" t="s">
        <v>9</v>
      </c>
      <c r="C17">
        <f>SUMIF('Raw Data'!$D$2:$D$901,A17,'Raw Data'!$E$2:$E$901)</f>
        <v>188</v>
      </c>
      <c r="D17" s="3">
        <f>SUMIF('Raw Data'!$D$2:$D$901,A17,'Raw Data'!$G$2:$G$901)</f>
        <v>929751.8400000002</v>
      </c>
      <c r="E17" s="2">
        <f>RANK(D17,$D$2:$D$21)+COUNTIF($D$2:D17,D17)-1</f>
        <v>3</v>
      </c>
    </row>
    <row r="18" spans="1:5" x14ac:dyDescent="0.2">
      <c r="A18" t="s">
        <v>12</v>
      </c>
      <c r="B18" t="s">
        <v>11</v>
      </c>
      <c r="C18">
        <f>SUMIF('Raw Data'!$D$2:$D$901,A18,'Raw Data'!$E$2:$E$901)</f>
        <v>301</v>
      </c>
      <c r="D18" s="3">
        <f>SUMIF('Raw Data'!$D$2:$D$901,A18,'Raw Data'!$G$2:$G$901)</f>
        <v>696022.05</v>
      </c>
      <c r="E18" s="2">
        <f>RANK(D18,$D$2:$D$21)+COUNTIF($D$2:D18,D18)-1</f>
        <v>4</v>
      </c>
    </row>
    <row r="19" spans="1:5" x14ac:dyDescent="0.2">
      <c r="A19" t="s">
        <v>37</v>
      </c>
      <c r="B19" t="s">
        <v>21</v>
      </c>
      <c r="C19">
        <f>SUMIF('Raw Data'!$D$2:$D$901,A19,'Raw Data'!$E$2:$E$901)</f>
        <v>167</v>
      </c>
      <c r="D19" s="3">
        <f>SUMIF('Raw Data'!$D$2:$D$901,A19,'Raw Data'!$G$2:$G$901)</f>
        <v>409076.61</v>
      </c>
      <c r="E19" s="2">
        <f>RANK(D19,$D$2:$D$21)+COUNTIF($D$2:D19,D19)-1</f>
        <v>9</v>
      </c>
    </row>
    <row r="20" spans="1:5" x14ac:dyDescent="0.2">
      <c r="A20" t="s">
        <v>20</v>
      </c>
      <c r="B20" t="s">
        <v>11</v>
      </c>
      <c r="C20">
        <f>SUMIF('Raw Data'!$D$2:$D$901,A20,'Raw Data'!$E$2:$E$901)</f>
        <v>158</v>
      </c>
      <c r="D20" s="3">
        <f>SUMIF('Raw Data'!$D$2:$D$901,A20,'Raw Data'!$G$2:$G$901)</f>
        <v>124395.09999999999</v>
      </c>
      <c r="E20" s="2">
        <f>RANK(D20,$D$2:$D$21)+COUNTIF($D$2:D20,D20)-1</f>
        <v>19</v>
      </c>
    </row>
    <row r="21" spans="1:5" x14ac:dyDescent="0.2">
      <c r="A21" t="s">
        <v>36</v>
      </c>
      <c r="B21" t="s">
        <v>25</v>
      </c>
      <c r="C21">
        <f>SUMIF('Raw Data'!$D$2:$D$901,A21,'Raw Data'!$E$2:$E$901)</f>
        <v>162</v>
      </c>
      <c r="D21" s="3">
        <f>SUMIF('Raw Data'!$D$2:$D$901,A21,'Raw Data'!$G$2:$G$901)</f>
        <v>111061.16000000002</v>
      </c>
      <c r="E21" s="2">
        <f>RANK(D21,$D$2:$D$21)+COUNTIF($D$2:D21,D21)-1</f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showGridLines="0" tabSelected="1" topLeftCell="A33" zoomScaleNormal="100" workbookViewId="0">
      <selection activeCell="Q9" sqref="Q9"/>
    </sheetView>
  </sheetViews>
  <sheetFormatPr baseColWidth="10" defaultColWidth="8.6640625" defaultRowHeight="15" x14ac:dyDescent="0.2"/>
  <cols>
    <col min="1" max="1" width="14" customWidth="1"/>
    <col min="2" max="2" width="12" customWidth="1"/>
    <col min="3" max="3" width="3" customWidth="1"/>
    <col min="4" max="4" width="10" customWidth="1"/>
    <col min="5" max="5" width="12" customWidth="1"/>
    <col min="6" max="6" width="3" customWidth="1"/>
    <col min="7" max="7" width="16" customWidth="1"/>
    <col min="8" max="8" width="12" customWidth="1"/>
    <col min="9" max="9" width="3" customWidth="1"/>
    <col min="10" max="10" width="24" customWidth="1"/>
    <col min="11" max="11" width="12" customWidth="1"/>
    <col min="12" max="12" width="3" customWidth="1"/>
  </cols>
  <sheetData>
    <row r="1" spans="1:12" ht="21.75" customHeight="1" x14ac:dyDescent="0.2">
      <c r="A1" s="19" t="s">
        <v>361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1.75" customHeight="1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2" x14ac:dyDescent="0.2">
      <c r="A4" s="4" t="s">
        <v>362</v>
      </c>
      <c r="B4" s="5" t="s">
        <v>363</v>
      </c>
      <c r="D4" s="4" t="s">
        <v>364</v>
      </c>
      <c r="E4" s="5" t="s">
        <v>363</v>
      </c>
      <c r="G4" s="6" t="s">
        <v>365</v>
      </c>
    </row>
    <row r="6" spans="1:12" ht="15.75" customHeight="1" x14ac:dyDescent="0.2">
      <c r="A6" s="15" t="s">
        <v>366</v>
      </c>
      <c r="B6" s="15"/>
      <c r="C6" s="15"/>
      <c r="D6" s="15" t="s">
        <v>367</v>
      </c>
      <c r="E6" s="15"/>
      <c r="F6" s="15"/>
      <c r="G6" s="15" t="s">
        <v>368</v>
      </c>
      <c r="H6" s="15"/>
      <c r="I6" s="15"/>
      <c r="J6" s="15" t="s">
        <v>369</v>
      </c>
      <c r="K6" s="15"/>
      <c r="L6" s="15"/>
    </row>
    <row r="7" spans="1:12" ht="19.5" customHeight="1" x14ac:dyDescent="0.2">
      <c r="A7" s="13">
        <f>SUMPRODUCT(('Raw Data'!$B$2:$B$901=IF($B$4="All",'Raw Data'!$B$2:$B$901,$B$4))*('Raw Data'!$C$2:$C$901=IF($E$4="All",'Raw Data'!$C$2:$C$901,$E$4))*'Raw Data'!$G$2:$G$901)</f>
        <v>8829778.589999998</v>
      </c>
      <c r="B7" s="13"/>
      <c r="C7" s="13"/>
      <c r="D7" s="14">
        <f>SUMPRODUCT(('Raw Data'!$B$2:$B$901=IF($B$4="All",'Raw Data'!$B$2:$B$901,$B$4))*('Raw Data'!$C$2:$C$901=IF($E$4="All",'Raw Data'!$C$2:$C$901,$E$4))*'Raw Data'!$E$2:$E$901)</f>
        <v>4458</v>
      </c>
      <c r="E7" s="14"/>
      <c r="F7" s="14"/>
      <c r="G7" s="14">
        <f>SUMPRODUCT(('Raw Data'!$B$2:$B$901=IF($B$4="All",'Raw Data'!$B$2:$B$901,$B$4))*('Raw Data'!$C$2:$C$901=IF($E$4="All",'Raw Data'!$C$2:$C$901,$E$4))*1)</f>
        <v>900</v>
      </c>
      <c r="H7" s="14"/>
      <c r="I7" s="14"/>
      <c r="J7" s="13">
        <f>IF(G7=0,0,A7/G7)</f>
        <v>9810.8650999999973</v>
      </c>
      <c r="K7" s="13"/>
      <c r="L7" s="13"/>
    </row>
    <row r="8" spans="1:12" ht="19.5" customHeight="1" x14ac:dyDescent="0.2">
      <c r="A8" s="13"/>
      <c r="B8" s="13"/>
      <c r="C8" s="13"/>
      <c r="D8" s="14"/>
      <c r="E8" s="14"/>
      <c r="F8" s="14"/>
      <c r="G8" s="14"/>
      <c r="H8" s="14"/>
      <c r="I8" s="14"/>
      <c r="J8" s="13"/>
      <c r="K8" s="13"/>
      <c r="L8" s="13"/>
    </row>
    <row r="10" spans="1:12" ht="17" x14ac:dyDescent="0.2">
      <c r="A10" s="7" t="s">
        <v>370</v>
      </c>
      <c r="D10" s="7" t="s">
        <v>371</v>
      </c>
      <c r="G10" s="7" t="s">
        <v>372</v>
      </c>
      <c r="J10" s="7" t="s">
        <v>373</v>
      </c>
    </row>
    <row r="11" spans="1:12" x14ac:dyDescent="0.2">
      <c r="A11" s="8" t="s">
        <v>374</v>
      </c>
      <c r="B11" s="8" t="s">
        <v>6</v>
      </c>
      <c r="D11" s="8" t="s">
        <v>1</v>
      </c>
      <c r="E11" s="8" t="s">
        <v>6</v>
      </c>
      <c r="G11" s="8" t="s">
        <v>2</v>
      </c>
      <c r="H11" s="8" t="s">
        <v>6</v>
      </c>
      <c r="J11" s="8" t="s">
        <v>3</v>
      </c>
      <c r="K11" s="8" t="s">
        <v>6</v>
      </c>
    </row>
    <row r="12" spans="1:12" x14ac:dyDescent="0.2">
      <c r="A12" s="9" t="s">
        <v>375</v>
      </c>
      <c r="B12" s="10">
        <f>SUMPRODUCT((MONTH('Raw Data'!$A$2:$A$901)=1)*('Raw Data'!$B$2:$B$901=IF($B$4="All",'Raw Data'!$B$2:$B$901,$B$4))*('Raw Data'!$C$2:$C$901=IF($E$4="All",'Raw Data'!$C$2:$C$901,$E$4))*'Raw Data'!$G$2:$G$901)</f>
        <v>685466.39</v>
      </c>
      <c r="D12" s="9" t="s">
        <v>8</v>
      </c>
      <c r="E12" s="10">
        <f>SUMIF('Raw Data'!$B$2:$B$901,D12,'Raw Data'!$G$2:$G$901)</f>
        <v>2918358.3600000008</v>
      </c>
      <c r="G12" s="9" t="s">
        <v>21</v>
      </c>
      <c r="H12" s="10">
        <f>SUMIF('Raw Data'!$C$2:$C$901,G12,'Raw Data'!$G$2:$G$901)</f>
        <v>2365860.7400000002</v>
      </c>
      <c r="J12" s="9" t="str">
        <f>INDEX('Product Summary'!$A$2:$A$21,MATCH(1,'Product Summary'!$E$2:$E$21,0))</f>
        <v>Air Purifier</v>
      </c>
      <c r="K12" s="10">
        <f>INDEX('Product Summary'!$D$2:$D$21,MATCH(1,'Product Summary'!$E$2:$E$21,0))</f>
        <v>1300034.6900000004</v>
      </c>
    </row>
    <row r="13" spans="1:12" x14ac:dyDescent="0.2">
      <c r="A13" s="9" t="s">
        <v>376</v>
      </c>
      <c r="B13" s="10">
        <f>SUMPRODUCT((MONTH('Raw Data'!$A$2:$A$901)=2)*('Raw Data'!$B$2:$B$901=IF($B$4="All",'Raw Data'!$B$2:$B$901,$B$4))*('Raw Data'!$C$2:$C$901=IF($E$4="All",'Raw Data'!$C$2:$C$901,$E$4))*'Raw Data'!$G$2:$G$901)</f>
        <v>729961.99</v>
      </c>
      <c r="D13" s="9" t="s">
        <v>13</v>
      </c>
      <c r="E13" s="10">
        <f>SUMIF('Raw Data'!$B$2:$B$901,D13,'Raw Data'!$G$2:$G$901)</f>
        <v>1861110.0600000012</v>
      </c>
      <c r="G13" s="9" t="s">
        <v>11</v>
      </c>
      <c r="H13" s="10">
        <f>SUMIF('Raw Data'!$C$2:$C$901,G13,'Raw Data'!$G$2:$G$901)</f>
        <v>1949389.800000001</v>
      </c>
      <c r="J13" s="9" t="str">
        <f>INDEX('Product Summary'!$A$2:$A$21,MATCH(2,'Product Summary'!$E$2:$E$21,0))</f>
        <v>Smartwatch</v>
      </c>
      <c r="K13" s="10">
        <f>INDEX('Product Summary'!$D$2:$D$21,MATCH(2,'Product Summary'!$E$2:$E$21,0))</f>
        <v>1008438.0799999998</v>
      </c>
    </row>
    <row r="14" spans="1:12" x14ac:dyDescent="0.2">
      <c r="A14" s="9" t="s">
        <v>377</v>
      </c>
      <c r="B14" s="10">
        <f>SUMPRODUCT((MONTH('Raw Data'!$A$2:$A$901)=3)*('Raw Data'!$B$2:$B$901=IF($B$4="All",'Raw Data'!$B$2:$B$901,$B$4))*('Raw Data'!$C$2:$C$901=IF($E$4="All",'Raw Data'!$C$2:$C$901,$E$4))*'Raw Data'!$G$2:$G$901)</f>
        <v>721199.5299999998</v>
      </c>
      <c r="D14" s="9" t="s">
        <v>19</v>
      </c>
      <c r="E14" s="10">
        <f>SUMIF('Raw Data'!$B$2:$B$901,D14,'Raw Data'!$G$2:$G$901)</f>
        <v>1436947.2799999991</v>
      </c>
      <c r="G14" s="9" t="s">
        <v>9</v>
      </c>
      <c r="H14" s="10">
        <f>SUMIF('Raw Data'!$C$2:$C$901,G14,'Raw Data'!$G$2:$G$901)</f>
        <v>3023754.0799999987</v>
      </c>
      <c r="J14" s="9" t="str">
        <f>INDEX('Product Summary'!$A$2:$A$21,MATCH(3,'Product Summary'!$E$2:$E$21,0))</f>
        <v>Vacuum Cleaner</v>
      </c>
      <c r="K14" s="10">
        <f>INDEX('Product Summary'!$D$2:$D$21,MATCH(3,'Product Summary'!$E$2:$E$21,0))</f>
        <v>929751.8400000002</v>
      </c>
    </row>
    <row r="15" spans="1:12" x14ac:dyDescent="0.2">
      <c r="A15" s="9" t="s">
        <v>378</v>
      </c>
      <c r="B15" s="10">
        <f>SUMPRODUCT((MONTH('Raw Data'!$A$2:$A$901)=4)*('Raw Data'!$B$2:$B$901=IF($B$4="All",'Raw Data'!$B$2:$B$901,$B$4))*('Raw Data'!$C$2:$C$901=IF($E$4="All",'Raw Data'!$C$2:$C$901,$E$4))*'Raw Data'!$G$2:$G$901)</f>
        <v>559892.9</v>
      </c>
      <c r="D15" s="9" t="s">
        <v>16</v>
      </c>
      <c r="E15" s="10">
        <f>SUMIF('Raw Data'!$B$2:$B$901,D15,'Raw Data'!$G$2:$G$901)</f>
        <v>2613362.8899999987</v>
      </c>
      <c r="G15" s="9" t="s">
        <v>25</v>
      </c>
      <c r="H15" s="10">
        <f>SUMIF('Raw Data'!$C$2:$C$901,G15,'Raw Data'!$G$2:$G$901)</f>
        <v>1490773.9700000009</v>
      </c>
      <c r="J15" s="9" t="str">
        <f>INDEX('Product Summary'!$A$2:$A$21,MATCH(4,'Product Summary'!$E$2:$E$21,0))</f>
        <v>Winter Jacket</v>
      </c>
      <c r="K15" s="10">
        <f>INDEX('Product Summary'!$D$2:$D$21,MATCH(4,'Product Summary'!$E$2:$E$21,0))</f>
        <v>696022.05</v>
      </c>
    </row>
    <row r="16" spans="1:12" x14ac:dyDescent="0.2">
      <c r="A16" s="9" t="s">
        <v>379</v>
      </c>
      <c r="B16" s="10">
        <f>SUMPRODUCT((MONTH('Raw Data'!$A$2:$A$901)=5)*('Raw Data'!$B$2:$B$901=IF($B$4="All",'Raw Data'!$B$2:$B$901,$B$4))*('Raw Data'!$C$2:$C$901=IF($E$4="All",'Raw Data'!$C$2:$C$901,$E$4))*'Raw Data'!$G$2:$G$901)</f>
        <v>724877.02999999991</v>
      </c>
      <c r="J16" s="9" t="str">
        <f>INDEX('Product Summary'!$A$2:$A$21,MATCH(5,'Product Summary'!$E$2:$E$21,0))</f>
        <v>Running Shoes</v>
      </c>
      <c r="K16" s="10">
        <f>INDEX('Product Summary'!$D$2:$D$21,MATCH(5,'Product Summary'!$E$2:$E$21,0))</f>
        <v>580434.98</v>
      </c>
    </row>
    <row r="17" spans="1:11" x14ac:dyDescent="0.2">
      <c r="A17" s="9" t="s">
        <v>380</v>
      </c>
      <c r="B17" s="10">
        <f>SUMPRODUCT((MONTH('Raw Data'!$A$2:$A$901)=6)*('Raw Data'!$B$2:$B$901=IF($B$4="All",'Raw Data'!$B$2:$B$901,$B$4))*('Raw Data'!$C$2:$C$901=IF($E$4="All",'Raw Data'!$C$2:$C$901,$E$4))*'Raw Data'!$G$2:$G$901)</f>
        <v>663391.50999999989</v>
      </c>
      <c r="J17" s="9" t="str">
        <f>INDEX('Product Summary'!$A$2:$A$21,MATCH(6,'Product Summary'!$E$2:$E$21,0))</f>
        <v>Dumbbell Set 10kg</v>
      </c>
      <c r="K17" s="10">
        <f>INDEX('Product Summary'!$D$2:$D$21,MATCH(6,'Product Summary'!$E$2:$E$21,0))</f>
        <v>489491.08</v>
      </c>
    </row>
    <row r="18" spans="1:11" x14ac:dyDescent="0.2">
      <c r="A18" s="9" t="s">
        <v>381</v>
      </c>
      <c r="B18" s="10">
        <f>SUMPRODUCT((MONTH('Raw Data'!$A$2:$A$901)=7)*('Raw Data'!$B$2:$B$901=IF($B$4="All",'Raw Data'!$B$2:$B$901,$B$4))*('Raw Data'!$C$2:$C$901=IF($E$4="All",'Raw Data'!$C$2:$C$901,$E$4))*'Raw Data'!$G$2:$G$901)</f>
        <v>671726.86999999988</v>
      </c>
      <c r="J18" s="9" t="str">
        <f>INDEX('Product Summary'!$A$2:$A$21,MATCH(7,'Product Summary'!$E$2:$E$21,0))</f>
        <v>Non-Stick Cookware Set</v>
      </c>
      <c r="K18" s="10">
        <f>INDEX('Product Summary'!$D$2:$D$21,MATCH(7,'Product Summary'!$E$2:$E$21,0))</f>
        <v>452245.9200000001</v>
      </c>
    </row>
    <row r="19" spans="1:11" x14ac:dyDescent="0.2">
      <c r="A19" s="9" t="s">
        <v>382</v>
      </c>
      <c r="B19" s="10">
        <f>SUMPRODUCT((MONTH('Raw Data'!$A$2:$A$901)=8)*('Raw Data'!$B$2:$B$901=IF($B$4="All",'Raw Data'!$B$2:$B$901,$B$4))*('Raw Data'!$C$2:$C$901=IF($E$4="All",'Raw Data'!$C$2:$C$901,$E$4))*'Raw Data'!$G$2:$G$901)</f>
        <v>703157.73999999976</v>
      </c>
      <c r="J19" s="9" t="str">
        <f>INDEX('Product Summary'!$A$2:$A$21,MATCH(8,'Product Summary'!$E$2:$E$21,0))</f>
        <v>Bluetooth Speaker</v>
      </c>
      <c r="K19" s="10">
        <f>INDEX('Product Summary'!$D$2:$D$21,MATCH(8,'Product Summary'!$E$2:$E$21,0))</f>
        <v>441558.10000000009</v>
      </c>
    </row>
    <row r="20" spans="1:11" x14ac:dyDescent="0.2">
      <c r="A20" s="9" t="s">
        <v>383</v>
      </c>
      <c r="B20" s="10">
        <f>SUMPRODUCT((MONTH('Raw Data'!$A$2:$A$901)=9)*('Raw Data'!$B$2:$B$901=IF($B$4="All",'Raw Data'!$B$2:$B$901,$B$4))*('Raw Data'!$C$2:$C$901=IF($E$4="All",'Raw Data'!$C$2:$C$901,$E$4))*'Raw Data'!$G$2:$G$901)</f>
        <v>526255.77000000014</v>
      </c>
      <c r="J20" s="9" t="str">
        <f>INDEX('Product Summary'!$A$2:$A$21,MATCH(9,'Product Summary'!$E$2:$E$21,0))</f>
        <v>Wireless Earbuds</v>
      </c>
      <c r="K20" s="10">
        <f>INDEX('Product Summary'!$D$2:$D$21,MATCH(9,'Product Summary'!$E$2:$E$21,0))</f>
        <v>409076.61</v>
      </c>
    </row>
    <row r="21" spans="1:11" x14ac:dyDescent="0.2">
      <c r="A21" s="9" t="s">
        <v>384</v>
      </c>
      <c r="B21" s="10">
        <f>SUMPRODUCT((MONTH('Raw Data'!$A$2:$A$901)=10)*('Raw Data'!$B$2:$B$901=IF($B$4="All",'Raw Data'!$B$2:$B$901,$B$4))*('Raw Data'!$C$2:$C$901=IF($E$4="All",'Raw Data'!$C$2:$C$901,$E$4))*'Raw Data'!$G$2:$G$901)</f>
        <v>1050267.92</v>
      </c>
      <c r="J21" s="9" t="str">
        <f>INDEX('Product Summary'!$A$2:$A$21,MATCH(10,'Product Summary'!$E$2:$E$21,0))</f>
        <v>Denim Jeans</v>
      </c>
      <c r="K21" s="10">
        <f>INDEX('Product Summary'!$D$2:$D$21,MATCH(10,'Product Summary'!$E$2:$E$21,0))</f>
        <v>397169.3899999999</v>
      </c>
    </row>
    <row r="22" spans="1:11" x14ac:dyDescent="0.2">
      <c r="A22" s="9" t="s">
        <v>385</v>
      </c>
      <c r="B22" s="10">
        <f>SUMPRODUCT((MONTH('Raw Data'!$A$2:$A$901)=11)*('Raw Data'!$B$2:$B$901=IF($B$4="All",'Raw Data'!$B$2:$B$901,$B$4))*('Raw Data'!$C$2:$C$901=IF($E$4="All",'Raw Data'!$C$2:$C$901,$E$4))*'Raw Data'!$G$2:$G$901)</f>
        <v>834448.5700000003</v>
      </c>
    </row>
    <row r="23" spans="1:11" x14ac:dyDescent="0.2">
      <c r="A23" s="9" t="s">
        <v>386</v>
      </c>
      <c r="B23" s="10">
        <f>SUMPRODUCT((MONTH('Raw Data'!$A$2:$A$901)=12)*('Raw Data'!$B$2:$B$901=IF($B$4="All",'Raw Data'!$B$2:$B$901,$B$4))*('Raw Data'!$C$2:$C$901=IF($E$4="All",'Raw Data'!$C$2:$C$901,$E$4))*'Raw Data'!$G$2:$G$901)</f>
        <v>959132.37</v>
      </c>
    </row>
  </sheetData>
  <mergeCells count="9">
    <mergeCell ref="A7:C8"/>
    <mergeCell ref="D7:F8"/>
    <mergeCell ref="G7:I8"/>
    <mergeCell ref="J7:L8"/>
    <mergeCell ref="A1:L2"/>
    <mergeCell ref="A6:C6"/>
    <mergeCell ref="D6:F6"/>
    <mergeCell ref="G6:I6"/>
    <mergeCell ref="J6:L6"/>
  </mergeCells>
  <dataValidations count="2">
    <dataValidation type="list" sqref="B4" xr:uid="{00000000-0002-0000-0200-000000000000}">
      <formula1>"All,North,South,East,West"</formula1>
      <formula2>0</formula2>
    </dataValidation>
    <dataValidation type="list" sqref="E4" xr:uid="{00000000-0002-0000-0200-000001000000}">
      <formula1>"All,Electronics,Clothing,Home &amp; Kitchen,Sports"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zoomScaleNormal="100" workbookViewId="0"/>
  </sheetViews>
  <sheetFormatPr baseColWidth="10" defaultColWidth="8.6640625" defaultRowHeight="15" x14ac:dyDescent="0.2"/>
  <cols>
    <col min="1" max="1" width="100" customWidth="1"/>
  </cols>
  <sheetData>
    <row r="1" spans="1:1" ht="18" x14ac:dyDescent="0.2">
      <c r="A1" s="11" t="s">
        <v>387</v>
      </c>
    </row>
    <row r="2" spans="1:1" x14ac:dyDescent="0.2">
      <c r="A2" s="12"/>
    </row>
    <row r="3" spans="1:1" x14ac:dyDescent="0.2">
      <c r="A3" s="12" t="s">
        <v>388</v>
      </c>
    </row>
    <row r="4" spans="1:1" x14ac:dyDescent="0.2">
      <c r="A4" s="12" t="s">
        <v>389</v>
      </c>
    </row>
    <row r="5" spans="1:1" x14ac:dyDescent="0.2">
      <c r="A5" s="12"/>
    </row>
    <row r="6" spans="1:1" x14ac:dyDescent="0.2">
      <c r="A6" s="12" t="s">
        <v>390</v>
      </c>
    </row>
    <row r="7" spans="1:1" x14ac:dyDescent="0.2">
      <c r="A7" s="12" t="s">
        <v>391</v>
      </c>
    </row>
    <row r="8" spans="1:1" x14ac:dyDescent="0.2">
      <c r="A8" s="12" t="s">
        <v>392</v>
      </c>
    </row>
    <row r="9" spans="1:1" x14ac:dyDescent="0.2">
      <c r="A9" s="12" t="s">
        <v>393</v>
      </c>
    </row>
    <row r="10" spans="1:1" x14ac:dyDescent="0.2">
      <c r="A10" s="12" t="s">
        <v>394</v>
      </c>
    </row>
    <row r="11" spans="1:1" x14ac:dyDescent="0.2">
      <c r="A11" s="12" t="s">
        <v>395</v>
      </c>
    </row>
    <row r="12" spans="1:1" x14ac:dyDescent="0.2">
      <c r="A12" s="12"/>
    </row>
    <row r="13" spans="1:1" x14ac:dyDescent="0.2">
      <c r="A13" s="12" t="s">
        <v>396</v>
      </c>
    </row>
    <row r="14" spans="1:1" x14ac:dyDescent="0.2">
      <c r="A14" s="12" t="s">
        <v>397</v>
      </c>
    </row>
    <row r="15" spans="1:1" x14ac:dyDescent="0.2">
      <c r="A15" s="12" t="s">
        <v>398</v>
      </c>
    </row>
    <row r="16" spans="1:1" x14ac:dyDescent="0.2">
      <c r="A16" s="12" t="s">
        <v>399</v>
      </c>
    </row>
    <row r="17" spans="1:1" x14ac:dyDescent="0.2">
      <c r="A17" s="12" t="s">
        <v>400</v>
      </c>
    </row>
    <row r="18" spans="1:1" x14ac:dyDescent="0.2">
      <c r="A18" s="12"/>
    </row>
    <row r="19" spans="1:1" x14ac:dyDescent="0.2">
      <c r="A19" s="12" t="s">
        <v>401</v>
      </c>
    </row>
    <row r="20" spans="1:1" x14ac:dyDescent="0.2">
      <c r="A20" s="12" t="s">
        <v>402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Product Summary</vt:lpstr>
      <vt:lpstr>Dashboard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1</cp:revision>
  <dcterms:created xsi:type="dcterms:W3CDTF">2026-09-23T06:05:11Z</dcterms:created>
  <dcterms:modified xsi:type="dcterms:W3CDTF">2026-09-23T06:56:41Z</dcterms:modified>
  <dc:language>en-US</dc:language>
</cp:coreProperties>
</file>